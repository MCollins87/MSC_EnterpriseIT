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<sst xmlns="http://schemas.openxmlformats.org/spreadsheetml/2006/main" count="42" uniqueCount="42">
  <si>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Store</t>
  </si>
  <si>
    <t xml:space="preserve">Con1</t>
  </si>
  <si>
    <t xml:space="preserve">Con2</t>
  </si>
  <si>
    <t xml:space="preserve">D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</si>
  <si>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</si>
  <si>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</si>
  <si>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</si>
  <si>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</si>
  <si>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</si>
  <si>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</si>
  <si>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</si>
  <si>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</si>
  <si>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</si>
  <si>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</si>
  <si>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</si>
  <si>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</si>
  <si>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</si>
  <si>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</si>
  <si>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</si>
  <si>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</si>
  <si>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</si>
  <si>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Difference in Means</t>
  </si>
  <si>
    <t xml:space="preserve">Hypotheses (one-tailed)</t>
  </si>
  <si>
    <t xml:space="preserve">Let D=Con1−Con2D = \text{Con1} - \text{Con2}D=Con1−Con2.</t>
  </si>
  <si>
    <t xml:space="preserve">Null hypothesis H0H_0H0​: μD≤0\mu_D \le 0μD​≤0</t>
  </si>
  <si>
    <t xml:space="preserve">(Filter Agent 1 is not more effective)</t>
  </si>
  <si>
    <t xml:space="preserve">Alternative hypothesis HaH_aHa​: μD&gt;0\mu_D &gt; 0μD​&gt;0</t>
  </si>
  <si>
    <t xml:space="preserve">(Filter Agent 1 is more effective)</t>
  </si>
  <si>
    <t xml:space="preserve">Test results from your output</t>
  </si>
  <si>
    <t xml:space="preserve">Observed mean difference: 13.200</t>
  </si>
  <si>
    <t xml:space="preserve">ttt statistic: 2.875</t>
  </si>
  <si>
    <t xml:space="preserve">Degrees of freedom: 9</t>
  </si>
  <si>
    <t xml:space="preserve">One-tailed p-value: 0.009</t>
  </si>
  <si>
    <t xml:space="preserve">Significance level: α=0.05\alpha = 0.05α=0.05</t>
  </si>
  <si>
    <t xml:space="preserve">One-tailed critical value: 1.833</t>
  </si>
  <si>
    <t xml:space="preserve">Decision</t>
  </si>
  <si>
    <t xml:space="preserve">Since p = 0.009 &lt; 0.05, and equivalently t=2.875&gt;1.833t = 2.875 &gt; 1.833t=2.875&gt;1.833,</t>
  </si>
  <si>
    <t xml:space="preserve">reject H0H_0H0​.</t>
  </si>
  <si>
    <t xml:space="preserve">Conclusion</t>
  </si>
  <si>
    <t xml:space="preserve">If a one-tailed test had been conducted, you would conclude that there is statistically significant evidence that Filter Agent 1 is more effective than Filter Agent 2 at the 5% significance level.</t>
  </si>
  <si>
    <t xml:space="preserve">Comparison to the two-tailed test</t>
  </si>
  <si>
    <t xml:space="preserve">In fact, even the two-tailed test was significant (p = 0.018), so switching to a one-tailed test only strengthens the conclusion. The direction of the effect (positive mean difference) supports the claim that Filter Agent 1 outperforms Filter Agent 2.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</si>
</sst>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6.44"/>
    <col collapsed="false" customWidth="true" hidden="false" outlineLevel="0" max="3" min="2" style="1" width="6.02"/>
    <col collapsed="false" customWidth="true" hidden="false" outlineLevel="0" max="4" min="4" style="0" width="3.51"/>
    <col collapsed="false" customWidth="true" hidden="false" outlineLevel="0" max="5" min="5" style="0" width="26.33"/>
    <col collapsed="false" customWidth="true" hidden="false" outlineLevel="0" max="6" min="6" style="0" width="19.66"/>
    <col collapsed="false" customWidth="true" hidden="false" outlineLevel="0" max="7" min="7" style="0" width="16.73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I1" s="5"/>
    </row>
    <row r="2" customFormat="false" ht="12.75" hidden="false" customHeight="false" outlineLevel="0" collapsed="false">
      <c r="A2" s="6" t="n">
        <v>1</v>
      </c>
      <c r="B2" s="6" t="n">
        <v>141</v>
      </c>
      <c r="C2" s="6" t="n">
        <v>118</v>
      </c>
      <c r="D2" s="5" t="n">
        <f aca="false">B2-C2</f>
        <v>23</v>
      </c>
      <c r="E2" s="7" t="s">
        <v>5</v>
      </c>
      <c r="F2" s="8" t="n">
        <v>0.05</v>
      </c>
      <c r="G2" s="9"/>
      <c r="I2" s="1"/>
      <c r="J2" s="5"/>
    </row>
    <row r="3" customFormat="false" ht="12.75" hidden="false" customHeight="false" outlineLevel="0" collapsed="false">
      <c r="A3" s="6" t="n">
        <v>2</v>
      </c>
      <c r="B3" s="6" t="n">
        <v>184</v>
      </c>
      <c r="C3" s="6" t="n">
        <v>167</v>
      </c>
      <c r="D3" s="5" t="n">
        <f aca="false">B3-C3</f>
        <v>17</v>
      </c>
      <c r="E3" s="7" t="s">
        <v>6</v>
      </c>
      <c r="F3" s="8" t="n">
        <v>0</v>
      </c>
      <c r="G3" s="9"/>
      <c r="I3" s="1"/>
      <c r="J3" s="5"/>
    </row>
    <row r="4" customFormat="false" ht="12.75" hidden="false" customHeight="false" outlineLevel="0" collapsed="false">
      <c r="A4" s="6" t="n">
        <v>3</v>
      </c>
      <c r="B4" s="6" t="n">
        <v>132</v>
      </c>
      <c r="C4" s="6" t="n">
        <v>137</v>
      </c>
      <c r="D4" s="5" t="n">
        <f aca="false">B4-C4</f>
        <v>-5</v>
      </c>
      <c r="F4" s="4" t="s">
        <v>7</v>
      </c>
      <c r="G4" s="4" t="s">
        <v>8</v>
      </c>
      <c r="I4" s="1"/>
      <c r="J4" s="5"/>
    </row>
    <row r="5" customFormat="false" ht="12.75" hidden="false" customHeight="false" outlineLevel="0" collapsed="false">
      <c r="A5" s="6" t="n">
        <v>4</v>
      </c>
      <c r="B5" s="6" t="n">
        <v>161</v>
      </c>
      <c r="C5" s="6" t="n">
        <v>168</v>
      </c>
      <c r="D5" s="5" t="n">
        <f aca="false">B5-C5</f>
        <v>-7</v>
      </c>
      <c r="E5" s="7" t="s">
        <v>9</v>
      </c>
      <c r="F5" s="10" t="n">
        <f aca="false">AVERAGE(Sheet1!$B$1:$B$11)</f>
        <v>172.6</v>
      </c>
      <c r="G5" s="10" t="n">
        <f aca="false">AVERAGE(Sheet1!$C$1:$C$11)</f>
        <v>159.4</v>
      </c>
      <c r="I5" s="1"/>
      <c r="J5" s="5"/>
    </row>
    <row r="6" customFormat="false" ht="12.75" hidden="false" customHeight="false" outlineLevel="0" collapsed="false">
      <c r="A6" s="6" t="n">
        <v>5</v>
      </c>
      <c r="B6" s="6" t="n">
        <v>176</v>
      </c>
      <c r="C6" s="6" t="n">
        <v>175</v>
      </c>
      <c r="D6" s="5" t="n">
        <f aca="false">B6-C6</f>
        <v>1</v>
      </c>
      <c r="E6" s="7" t="s">
        <v>10</v>
      </c>
      <c r="F6" s="10" t="n">
        <f aca="false">VAR(Sheet1!$B$1:$B$11)</f>
        <v>750.266666666667</v>
      </c>
      <c r="G6" s="10" t="n">
        <f aca="false">VAR(Sheet1!$C$1:$C$11)</f>
        <v>789.377777777778</v>
      </c>
      <c r="I6" s="1"/>
      <c r="J6" s="5"/>
    </row>
    <row r="7" customFormat="false" ht="12.75" hidden="false" customHeight="false" outlineLevel="0" collapsed="false">
      <c r="A7" s="6" t="n">
        <v>6</v>
      </c>
      <c r="B7" s="6" t="n">
        <v>196</v>
      </c>
      <c r="C7" s="6" t="n">
        <v>197</v>
      </c>
      <c r="D7" s="5" t="n">
        <f aca="false">B7-C7</f>
        <v>-1</v>
      </c>
      <c r="E7" s="7" t="s">
        <v>11</v>
      </c>
      <c r="F7" s="10" t="n">
        <f aca="false">COUNT(Sheet1!$B$1:$B$11)</f>
        <v>10</v>
      </c>
      <c r="G7" s="10" t="n">
        <f aca="false">COUNT(Sheet1!$C$1:$C$11)</f>
        <v>10</v>
      </c>
      <c r="I7" s="1"/>
      <c r="J7" s="5"/>
    </row>
    <row r="8" customFormat="false" ht="12.75" hidden="false" customHeight="false" outlineLevel="0" collapsed="false">
      <c r="A8" s="6" t="n">
        <v>7</v>
      </c>
      <c r="B8" s="6" t="n">
        <v>169</v>
      </c>
      <c r="C8" s="6" t="n">
        <v>143</v>
      </c>
      <c r="D8" s="5" t="n">
        <f aca="false">B8-C8</f>
        <v>26</v>
      </c>
      <c r="E8" s="7" t="s">
        <v>12</v>
      </c>
      <c r="F8" s="10" t="n">
        <f aca="false">CORREL(Sheet1!$B$1:$B$11,Sheet1!$C$1:$C$11)</f>
        <v>0.863335004076455</v>
      </c>
      <c r="G8" s="10"/>
      <c r="I8" s="1"/>
      <c r="J8" s="5"/>
    </row>
    <row r="9" customFormat="false" ht="12.75" hidden="false" customHeight="false" outlineLevel="0" collapsed="false">
      <c r="A9" s="6" t="n">
        <v>8</v>
      </c>
      <c r="B9" s="6" t="n">
        <v>199</v>
      </c>
      <c r="C9" s="6" t="n">
        <v>169</v>
      </c>
      <c r="D9" s="5" t="n">
        <f aca="false">B9-C9</f>
        <v>30</v>
      </c>
      <c r="E9" s="7" t="s">
        <v>13</v>
      </c>
      <c r="F9" s="10" t="n">
        <f aca="false" t="array" ref="F9:F9">AVERAGE(IF(ISODD(IF(ISNUMBER(Sheet1!$B$1:$B$11), 1, 0) * IF(ISNUMBER(Sheet1!$C$1:$C$11), 1, 0)), Sheet1!$B$1:$B$11 - Sheet1!$C$1:$C$11, "NA"))</f>
        <v>13.2</v>
      </c>
      <c r="G9" s="10"/>
      <c r="I9" s="1"/>
      <c r="J9" s="5"/>
    </row>
    <row r="10" customFormat="false" ht="12.75" hidden="false" customHeight="false" outlineLevel="0" collapsed="false">
      <c r="A10" s="6" t="n">
        <v>9</v>
      </c>
      <c r="B10" s="6" t="n">
        <v>150</v>
      </c>
      <c r="C10" s="6" t="n">
        <v>123</v>
      </c>
      <c r="D10" s="5" t="n">
        <f aca="false">B10-C10</f>
        <v>27</v>
      </c>
      <c r="E10" s="7" t="s">
        <v>14</v>
      </c>
      <c r="F10" s="10" t="n">
        <f aca="false" t="array" ref="F10:F10">VAR(IF(ISODD(IF(ISNUMBER(Sheet1!$B$1:$B$11), 1, 0) * IF(ISNUMBER(Sheet1!$C$1:$C$11), 1, 0)), Sheet1!$B$1:$B$11 - Sheet1!$C$1:$C$11, "NA"))</f>
        <v>210.844444444444</v>
      </c>
      <c r="G10" s="10"/>
      <c r="I10" s="1"/>
      <c r="J10" s="5"/>
    </row>
    <row r="11" customFormat="false" ht="12.75" hidden="false" customHeight="false" outlineLevel="0" collapsed="false">
      <c r="A11" s="6" t="n">
        <v>10</v>
      </c>
      <c r="B11" s="6" t="n">
        <v>218</v>
      </c>
      <c r="C11" s="6" t="n">
        <v>197</v>
      </c>
      <c r="D11" s="5" t="n">
        <f aca="false">B11-C11</f>
        <v>21</v>
      </c>
      <c r="E11" s="7" t="s">
        <v>15</v>
      </c>
      <c r="F11" s="10" t="n">
        <f aca="false" t="array" ref="F11:F11">SUM(IF(ISNUMBER(Sheet1!$B$1:$B$11), 1, 0) * IF(ISNUMBER(Sheet1!$C$1:$C$11), 1, 0)) - 1</f>
        <v>9</v>
      </c>
      <c r="G11" s="10"/>
      <c r="I11" s="1"/>
      <c r="J11" s="5"/>
    </row>
    <row r="12" customFormat="false" ht="12.75" hidden="false" customHeight="false" outlineLevel="0" collapsed="false">
      <c r="E12" s="7" t="s">
        <v>16</v>
      </c>
      <c r="F12" s="10" t="n">
        <f aca="false">(Sheet1!$F$9 - Sheet1!$F$3) / (Sheet1!$F$10 / ( Sheet1!$F$11 + 1)) ^ 0.5</f>
        <v>2.87470212548825</v>
      </c>
      <c r="G12" s="10"/>
      <c r="I12" s="1"/>
      <c r="J12" s="1"/>
    </row>
    <row r="13" customFormat="false" ht="12.75" hidden="false" customHeight="false" outlineLevel="0" collapsed="false">
      <c r="E13" s="7" t="s">
        <v>17</v>
      </c>
      <c r="F13" s="10" t="n">
        <f aca="false">TDIST(ABS(Sheet1!$F$12), Sheet1!$F$11, 1)</f>
        <v>0.00916781738758109</v>
      </c>
      <c r="G13" s="10"/>
      <c r="I13" s="1"/>
      <c r="J13" s="1"/>
    </row>
    <row r="14" customFormat="false" ht="12.75" hidden="false" customHeight="false" outlineLevel="0" collapsed="false">
      <c r="E14" s="7" t="s">
        <v>18</v>
      </c>
      <c r="F14" s="10" t="n">
        <f aca="false">TINV(2*Sheet1!$F$2, Sheet1!$F$11)</f>
        <v>1.83311293265624</v>
      </c>
      <c r="G14" s="10"/>
      <c r="I14" s="1"/>
      <c r="J14" s="1"/>
    </row>
    <row r="15" customFormat="false" ht="12.75" hidden="false" customHeight="false" outlineLevel="0" collapsed="false">
      <c r="E15" s="7" t="s">
        <v>19</v>
      </c>
      <c r="F15" s="10" t="n">
        <f aca="false">TDIST(ABS(Sheet1!$F$12), Sheet1!$F$11, 2)</f>
        <v>0.0183356347751622</v>
      </c>
      <c r="G15" s="10"/>
      <c r="I15" s="1"/>
      <c r="J15" s="1"/>
    </row>
    <row r="16" customFormat="false" ht="12.75" hidden="false" customHeight="false" outlineLevel="0" collapsed="false">
      <c r="E16" s="7" t="s">
        <v>20</v>
      </c>
      <c r="F16" s="10" t="n">
        <f aca="false">TINV(Sheet1!$F$2, Sheet1!$F$11)</f>
        <v>2.26215716279821</v>
      </c>
      <c r="G16" s="10"/>
      <c r="I16" s="1"/>
      <c r="J16" s="1"/>
    </row>
    <row r="17" customFormat="false" ht="12.75" hidden="false" customHeight="false" outlineLevel="0" collapsed="false">
      <c r="A17" s="8"/>
      <c r="E17" s="7" t="s">
        <v>21</v>
      </c>
      <c r="F17" s="10" t="n">
        <f aca="false">F5-G5</f>
        <v>13.2</v>
      </c>
      <c r="G17" s="10"/>
      <c r="I17" s="1"/>
      <c r="J17" s="1"/>
    </row>
    <row r="18" customFormat="false" ht="12.75" hidden="false" customHeight="false" outlineLevel="0" collapsed="false">
      <c r="I18" s="1"/>
      <c r="J18" s="1"/>
    </row>
    <row r="19" customFormat="false" ht="12.75" hidden="false" customHeight="false" outlineLevel="0" collapsed="false">
      <c r="I19" s="1"/>
      <c r="J19" s="1"/>
    </row>
    <row r="20" customFormat="false" ht="15" hidden="false" customHeight="false" outlineLevel="0" collapsed="false">
      <c r="B20" s="8"/>
      <c r="C20" s="8"/>
      <c r="E20" s="11" t="s">
        <v>22</v>
      </c>
      <c r="I20" s="1"/>
      <c r="J20" s="1"/>
    </row>
    <row r="21" customFormat="false" ht="35.05" hidden="false" customHeight="false" outlineLevel="0" collapsed="false">
      <c r="E21" s="12" t="s">
        <v>23</v>
      </c>
      <c r="I21" s="1"/>
      <c r="J21" s="1"/>
    </row>
    <row r="22" customFormat="false" ht="23.85" hidden="false" customHeight="false" outlineLevel="0" collapsed="false">
      <c r="E22" s="13" t="s">
        <v>24</v>
      </c>
      <c r="I22" s="1"/>
      <c r="J22" s="1"/>
    </row>
    <row r="23" customFormat="false" ht="23.85" hidden="false" customHeight="false" outlineLevel="0" collapsed="false">
      <c r="E23" s="12" t="s">
        <v>25</v>
      </c>
      <c r="I23" s="1"/>
      <c r="J23" s="1"/>
    </row>
    <row r="24" customFormat="false" ht="35.05" hidden="false" customHeight="false" outlineLevel="0" collapsed="false">
      <c r="E24" s="13" t="s">
        <v>26</v>
      </c>
      <c r="I24" s="1"/>
      <c r="J24" s="1"/>
    </row>
    <row r="25" customFormat="false" ht="12.75" hidden="false" customHeight="false" outlineLevel="0" collapsed="false">
      <c r="E25" s="12" t="s">
        <v>27</v>
      </c>
      <c r="I25" s="1"/>
      <c r="J25" s="1"/>
    </row>
    <row r="26" customFormat="false" ht="26.85" hidden="false" customHeight="false" outlineLevel="0" collapsed="false">
      <c r="E26" s="11" t="s">
        <v>28</v>
      </c>
      <c r="I26" s="1"/>
      <c r="J26" s="1"/>
    </row>
    <row r="27" customFormat="false" ht="23.85" hidden="false" customHeight="false" outlineLevel="0" collapsed="false">
      <c r="E27" s="12" t="s">
        <v>29</v>
      </c>
      <c r="I27" s="1"/>
      <c r="J27" s="1"/>
    </row>
    <row r="28" customFormat="false" ht="12.75" hidden="false" customHeight="false" outlineLevel="0" collapsed="false">
      <c r="E28" s="12" t="s">
        <v>30</v>
      </c>
      <c r="I28" s="1"/>
      <c r="J28" s="1"/>
    </row>
    <row r="29" customFormat="false" ht="12.75" hidden="false" customHeight="false" outlineLevel="0" collapsed="false">
      <c r="E29" s="12" t="s">
        <v>31</v>
      </c>
      <c r="I29" s="1"/>
      <c r="J29" s="1"/>
    </row>
    <row r="30" customFormat="false" ht="12.75" hidden="false" customHeight="false" outlineLevel="0" collapsed="false">
      <c r="E30" s="13" t="s">
        <v>32</v>
      </c>
      <c r="I30" s="1"/>
      <c r="J30" s="1"/>
    </row>
    <row r="31" customFormat="false" ht="23.85" hidden="false" customHeight="false" outlineLevel="0" collapsed="false">
      <c r="E31" s="12" t="s">
        <v>33</v>
      </c>
      <c r="I31" s="1"/>
      <c r="J31" s="1"/>
    </row>
    <row r="32" customFormat="false" ht="12.75" hidden="false" customHeight="false" outlineLevel="0" collapsed="false">
      <c r="E32" s="12" t="s">
        <v>34</v>
      </c>
      <c r="I32" s="1"/>
      <c r="J32" s="1"/>
    </row>
    <row r="33" customFormat="false" ht="15" hidden="false" customHeight="false" outlineLevel="0" collapsed="false">
      <c r="E33" s="11" t="s">
        <v>35</v>
      </c>
      <c r="I33" s="1"/>
      <c r="J33" s="1"/>
    </row>
    <row r="34" customFormat="false" ht="35.05" hidden="false" customHeight="false" outlineLevel="0" collapsed="false">
      <c r="E34" s="12" t="s">
        <v>36</v>
      </c>
      <c r="I34" s="1"/>
      <c r="J34" s="1"/>
    </row>
    <row r="35" customFormat="false" ht="12.75" hidden="false" customHeight="false" outlineLevel="0" collapsed="false">
      <c r="E35" s="13" t="s">
        <v>37</v>
      </c>
      <c r="I35" s="1"/>
      <c r="J35" s="1"/>
    </row>
    <row r="36" customFormat="false" ht="15" hidden="false" customHeight="false" outlineLevel="0" collapsed="false">
      <c r="E36" s="11" t="s">
        <v>38</v>
      </c>
      <c r="I36" s="1"/>
      <c r="J36" s="1"/>
    </row>
    <row r="37" customFormat="false" ht="79.85" hidden="false" customHeight="false" outlineLevel="0" collapsed="false">
      <c r="E37" s="12" t="s">
        <v>39</v>
      </c>
      <c r="I37" s="1"/>
      <c r="J37" s="1"/>
    </row>
    <row r="38" customFormat="false" ht="26.85" hidden="false" customHeight="false" outlineLevel="0" collapsed="false">
      <c r="E38" s="11" t="s">
        <v>40</v>
      </c>
      <c r="I38" s="1"/>
      <c r="J38" s="1"/>
    </row>
    <row r="39" customFormat="false" ht="102.2" hidden="false" customHeight="false" outlineLevel="0" collapsed="false">
      <c r="E39" s="12" t="s">
        <v>41</v>
      </c>
      <c r="I39" s="1"/>
      <c r="J39" s="1"/>
    </row>
    <row r="40" customFormat="false" ht="12.75" hidden="false" customHeight="false" outlineLevel="0" collapsed="false">
      <c r="I40" s="1"/>
      <c r="J40" s="1"/>
    </row>
    <row r="41" customFormat="false" ht="12.75" hidden="false" customHeight="false" outlineLevel="0" collapsed="false">
      <c r="I41" s="1"/>
      <c r="J41" s="1"/>
    </row>
    <row r="42" customFormat="false" ht="12.75" hidden="false" customHeight="false" outlineLevel="0" collapsed="false">
      <c r="I42" s="1"/>
      <c r="J42" s="1"/>
    </row>
    <row r="43" customFormat="false" ht="12.75" hidden="false" customHeight="false" outlineLevel="0" collapsed="false">
      <c r="I43" s="1"/>
      <c r="J43" s="1"/>
    </row>
    <row r="44" customFormat="false" ht="12.75" hidden="false" customHeight="false" outlineLevel="0" collapsed="false">
      <c r="I44" s="1"/>
      <c r="J44" s="1"/>
    </row>
    <row r="45" customFormat="false" ht="12.75" hidden="false" customHeight="false" outlineLevel="0" collapsed="false">
      <c r="I45" s="1"/>
      <c r="J45" s="1"/>
    </row>
    <row r="46" customFormat="false" ht="12.75" hidden="false" customHeight="false" outlineLevel="0" collapsed="false">
      <c r="I46" s="1"/>
      <c r="J46" s="1"/>
    </row>
    <row r="47" customFormat="false" ht="12.75" hidden="false" customHeight="false" outlineLevel="0" collapsed="false">
      <c r="I47" s="1"/>
      <c r="J47" s="1"/>
    </row>
    <row r="48" customFormat="false" ht="12.75" hidden="false" customHeight="false" outlineLevel="0" collapsed="false">
      <c r="I48" s="1"/>
      <c r="J48" s="1"/>
    </row>
    <row r="49" customFormat="false" ht="12.75" hidden="false" customHeight="false" outlineLevel="0" collapsed="false">
      <c r="I49" s="1"/>
      <c r="J49" s="1"/>
    </row>
    <row r="50" customFormat="false" ht="12.75" hidden="false" customHeight="false" outlineLevel="0" collapsed="false">
      <c r="I50" s="1"/>
      <c r="J50" s="1"/>
    </row>
    <row r="51" customFormat="false" ht="12.75" hidden="false" customHeight="false" outlineLevel="0" collapsed="false">
      <c r="I51" s="1"/>
      <c r="J51" s="1"/>
    </row>
    <row r="52" customFormat="false" ht="12.75" hidden="false" customHeight="false" outlineLevel="0" collapsed="false">
      <c r="I52" s="1"/>
      <c r="J52" s="1"/>
    </row>
    <row r="53" customFormat="false" ht="12.75" hidden="false" customHeight="false" outlineLevel="0" collapsed="false">
      <c r="I53" s="1"/>
      <c r="J53" s="1"/>
    </row>
    <row r="54" customFormat="false" ht="12.75" hidden="false" customHeight="false" outlineLevel="0" collapsed="false">
      <c r="I54" s="1"/>
      <c r="J54" s="1"/>
    </row>
    <row r="55" customFormat="false" ht="12.75" hidden="false" customHeight="false" outlineLevel="0" collapsed="false">
      <c r="I55" s="1"/>
      <c r="J55" s="1"/>
    </row>
    <row r="56" customFormat="false" ht="12.75" hidden="false" customHeight="false" outlineLevel="0" collapsed="false">
      <c r="I56" s="1"/>
      <c r="J56" s="1"/>
    </row>
    <row r="57" customFormat="false" ht="12.75" hidden="false" customHeight="false" outlineLevel="0" collapsed="false">
      <c r="I57" s="1"/>
      <c r="J57" s="1"/>
    </row>
    <row r="58" customFormat="false" ht="12.75" hidden="false" customHeight="false" outlineLevel="0" collapsed="false">
      <c r="I58" s="1"/>
      <c r="J58" s="1"/>
    </row>
    <row r="59" customFormat="false" ht="12.75" hidden="false" customHeight="false" outlineLevel="0" collapsed="false">
      <c r="I59" s="1"/>
      <c r="J59" s="1"/>
    </row>
    <row r="60" customFormat="false" ht="12.75" hidden="false" customHeight="false" outlineLevel="0" collapsed="false">
      <c r="I60" s="1"/>
      <c r="J60" s="1"/>
    </row>
    <row r="61" customFormat="false" ht="12.75" hidden="false" customHeight="false" outlineLevel="0" collapsed="false">
      <c r="I61" s="1"/>
      <c r="J61" s="1"/>
    </row>
    <row r="62" customFormat="false" ht="12.75" hidden="false" customHeight="false" outlineLevel="0" collapsed="false">
      <c r="I62" s="1"/>
      <c r="J62" s="1"/>
    </row>
    <row r="63" customFormat="false" ht="12.75" hidden="false" customHeight="false" outlineLevel="0" collapsed="false">
      <c r="I63" s="1"/>
      <c r="J63" s="1"/>
    </row>
    <row r="64" customFormat="false" ht="12.75" hidden="false" customHeight="false" outlineLevel="0" collapsed="false">
      <c r="I64" s="1"/>
      <c r="J64" s="1"/>
    </row>
    <row r="65" customFormat="false" ht="12.75" hidden="false" customHeight="false" outlineLevel="0" collapsed="false">
      <c r="I65" s="1"/>
      <c r="J65" s="1"/>
    </row>
    <row r="66" customFormat="false" ht="12.75" hidden="false" customHeight="false" outlineLevel="0" collapsed="false">
      <c r="I66" s="1"/>
      <c r="J66" s="1"/>
    </row>
    <row r="67" customFormat="false" ht="12.75" hidden="false" customHeight="false" outlineLevel="0" collapsed="false">
      <c r="I67" s="1"/>
      <c r="J67" s="1"/>
    </row>
    <row r="68" customFormat="false" ht="12.75" hidden="false" customHeight="false" outlineLevel="0" collapsed="false">
      <c r="I68" s="1"/>
      <c r="J68" s="1"/>
    </row>
    <row r="69" customFormat="false" ht="12.75" hidden="false" customHeight="false" outlineLevel="0" collapsed="false">
      <c r="I69" s="1"/>
      <c r="J69" s="1"/>
    </row>
    <row r="70" customFormat="false" ht="12.75" hidden="false" customHeight="false" outlineLevel="0" collapsed="false">
      <c r="I70" s="1"/>
      <c r="J70" s="1"/>
    </row>
    <row r="71" customFormat="false" ht="12.75" hidden="false" customHeight="false" outlineLevel="0" collapsed="false">
      <c r="I71" s="1"/>
      <c r="J71" s="1"/>
    </row>
    <row r="72" customFormat="false" ht="12.75" hidden="false" customHeight="false" outlineLevel="0" collapsed="false">
      <c r="I72" s="1"/>
      <c r="J72" s="1"/>
    </row>
    <row r="73" customFormat="false" ht="12.75" hidden="false" customHeight="false" outlineLevel="0" collapsed="false">
      <c r="I73" s="1"/>
      <c r="J73" s="1"/>
    </row>
    <row r="74" customFormat="false" ht="12.75" hidden="false" customHeight="false" outlineLevel="0" collapsed="false">
      <c r="I74" s="1"/>
      <c r="J74" s="1"/>
    </row>
    <row r="75" customFormat="false" ht="12.75" hidden="false" customHeight="false" outlineLevel="0" collapsed="false">
      <c r="I75" s="1"/>
      <c r="J75" s="1"/>
    </row>
    <row r="76" customFormat="false" ht="12.75" hidden="false" customHeight="false" outlineLevel="0" collapsed="false">
      <c r="I76" s="1"/>
      <c r="J76" s="1"/>
    </row>
    <row r="77" customFormat="false" ht="12.75" hidden="false" customHeight="false" outlineLevel="0" collapsed="false">
      <c r="I77" s="1"/>
      <c r="J77" s="1"/>
    </row>
    <row r="78" customFormat="false" ht="12.75" hidden="false" customHeight="false" outlineLevel="0" collapsed="false">
      <c r="I78" s="1"/>
      <c r="J78" s="1"/>
    </row>
    <row r="79" customFormat="false" ht="12.75" hidden="false" customHeight="false" outlineLevel="0" collapsed="false">
      <c r="I79" s="1"/>
      <c r="J79" s="1"/>
    </row>
    <row r="80" customFormat="false" ht="12.75" hidden="false" customHeight="false" outlineLevel="0" collapsed="false">
      <c r="I80" s="1"/>
      <c r="J8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1403</TotalTime>
  <Application>LibreOffice/24.2.7.2$Linux_X86_64 LibreOffice_project/420$Build-2</Application>
  <AppVersion>15.0000</AppVersion>
  <Company>SHU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2006-09-19T07:39:26Z</dcterms:created>
  <dc:creator>K. F. Jones</dc:creator>
  <dc:description/>
  <dc:language>en-GB</dc:language>
  <cp:lastModifiedBy/>
  <dcterms:modified xsi:type="dcterms:W3CDTF">2026-01-03T19:51:53Z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
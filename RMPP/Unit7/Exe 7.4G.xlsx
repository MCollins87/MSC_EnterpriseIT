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<sst xmlns="http://schemas.openxmlformats.org/spreadsheetml/2006/main" count="47" uniqueCount="47">
  <si>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Batch</t>
  </si>
  <si>
    <t xml:space="preserve">Agent1</t>
  </si>
  <si>
    <t xml:space="preserve">Agent2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</si>
  <si>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</si>
  <si>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</si>
  <si>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</si>
  <si>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</si>
  <si>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</si>
  <si>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</si>
  <si>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</si>
  <si>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</si>
  <si>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</si>
  <si>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</si>
  <si>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</si>
  <si>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</si>
  <si>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</si>
  <si>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</si>
  <si>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</si>
  <si>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</si>
  <si>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</si>
  <si>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What was tested</t>
  </si>
  <si>
    <t xml:space="preserve">Test type: Paired t-test</t>
  </si>
  <si>
    <t xml:space="preserve">Null hypothesis (H₀): The mean difference between Variable 1 and Variable 2 is 0</t>
  </si>
  <si>
    <t xml:space="preserve">Alternative hypothesis (H₁): The mean difference is not 0</t>
  </si>
  <si>
    <t xml:space="preserve">Significance level (α): 0.05</t>
  </si>
  <si>
    <t xml:space="preserve">Sample size: 12 paired observations</t>
  </si>
  <si>
    <t xml:space="preserve">A paired t-test is appropriate because the same subjects (or matched pairs) were measured twice.</t>
  </si>
  <si>
    <t xml:space="preserve">Key results</t>
  </si>
  <si>
    <t xml:space="preserve">Mean (Variable 1): 8.25</t>
  </si>
  <si>
    <t xml:space="preserve">Mean (Variable 2): 8.68</t>
  </si>
  <si>
    <t xml:space="preserve">Observed mean difference (V1 − V2): −0.43</t>
  </si>
  <si>
    <t xml:space="preserve">On average, Variable 2 is about 0.43 units higher than Variable 1.</t>
  </si>
  <si>
    <t xml:space="preserve">t statistic: −3.26</t>
  </si>
  <si>
    <t xml:space="preserve">Degrees of freedom: 11</t>
  </si>
  <si>
    <t xml:space="preserve">Two-tailed p-value: 0.0075</t>
  </si>
  <si>
    <t xml:space="preserve">Statistical decision</t>
  </si>
  <si>
    <t xml:space="preserve">The two-tailed p-value (0.0075) is less than α = 0.05</t>
  </si>
  <si>
    <t xml:space="preserve">The absolute t value (3.26) is greater than the critical value (2.20)</t>
  </si>
  <si>
    <t xml:space="preserve">👉 Reject the null hypothesis</t>
  </si>
  <si>
    <t xml:space="preserve">Interpretation (plain English)</t>
  </si>
  <si>
    <t xml:space="preserve">There is a statistically significant difference between Variable 1 and Variable 2. Specifically, Variable 2 has a significantly higher mean than Variable 1 for the paired observations.</t>
  </si>
  <si>
    <t xml:space="preserve">Because this is a paired test, the result means the within-pair change is unlikely to be due to random chance.</t>
  </si>
  <si>
    <t xml:space="preserve">Additional notes</t>
  </si>
  <si>
    <t xml:space="preserve">High Pearson correlation (0.90):</t>
  </si>
  <si>
    <t xml:space="preserve">This indicates the paired measurements are strongly related, which strengthens the validity and power of the paired t-test.</t>
  </si>
  <si>
    <t xml:space="preserve">Direction of effect:</t>
  </si>
  <si>
    <t xml:space="preserve">The negative t-statistic confirms that Variable 1 &lt; Variable 2 on average.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</si>
</sst>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6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2.75" zeroHeight="false" outlineLevelRow="0" outlineLevelCol="0"/>
  <cols>
    <col collapsed="false" customWidth="true" hidden="false" outlineLevel="0" max="7" min="7" style="0" width="26.33"/>
    <col collapsed="false" customWidth="true" hidden="false" outlineLevel="0" max="8" min="8" style="0" width="19.66"/>
    <col collapsed="false" customWidth="true" hidden="false" outlineLevel="0" max="9" min="9" style="0" width="16.73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G1" s="2" t="s">
        <v>3</v>
      </c>
    </row>
    <row r="2" customFormat="false" ht="12.75" hidden="false" customHeight="false" outlineLevel="0" collapsed="false">
      <c r="A2" s="3" t="n">
        <v>1</v>
      </c>
      <c r="B2" s="3" t="n">
        <v>7.7</v>
      </c>
      <c r="C2" s="3" t="n">
        <v>8.5</v>
      </c>
      <c r="G2" s="4" t="s">
        <v>4</v>
      </c>
      <c r="H2" s="0" t="n">
        <v>0.05</v>
      </c>
    </row>
    <row r="3" customFormat="false" ht="12.75" hidden="false" customHeight="false" outlineLevel="0" collapsed="false">
      <c r="A3" s="3" t="n">
        <v>2</v>
      </c>
      <c r="B3" s="3" t="n">
        <v>9.2</v>
      </c>
      <c r="C3" s="3" t="n">
        <v>9.6</v>
      </c>
      <c r="G3" s="4" t="s">
        <v>5</v>
      </c>
      <c r="H3" s="0" t="n">
        <v>0</v>
      </c>
    </row>
    <row r="4" customFormat="false" ht="12.75" hidden="false" customHeight="false" outlineLevel="0" collapsed="false">
      <c r="A4" s="3" t="n">
        <v>3</v>
      </c>
      <c r="B4" s="3" t="n">
        <v>6.8</v>
      </c>
      <c r="C4" s="3" t="n">
        <v>6.4</v>
      </c>
      <c r="H4" s="2" t="s">
        <v>6</v>
      </c>
      <c r="I4" s="2" t="s">
        <v>7</v>
      </c>
    </row>
    <row r="5" customFormat="false" ht="12.75" hidden="false" customHeight="false" outlineLevel="0" collapsed="false">
      <c r="A5" s="3" t="n">
        <v>4</v>
      </c>
      <c r="B5" s="3" t="n">
        <v>9.5</v>
      </c>
      <c r="C5" s="3" t="n">
        <v>9.8</v>
      </c>
      <c r="G5" s="4" t="s">
        <v>8</v>
      </c>
      <c r="H5" s="4" t="n">
        <f aca="false">AVERAGE(Sheet1!$B$1:$B$13)</f>
        <v>8.25</v>
      </c>
      <c r="I5" s="4" t="n">
        <f aca="false">AVERAGE(Sheet1!$C$1:$C$13)</f>
        <v>8.68333333333333</v>
      </c>
    </row>
    <row r="6" customFormat="false" ht="12.75" hidden="false" customHeight="false" outlineLevel="0" collapsed="false">
      <c r="A6" s="3" t="n">
        <v>5</v>
      </c>
      <c r="B6" s="3" t="n">
        <v>8.7</v>
      </c>
      <c r="C6" s="3" t="n">
        <v>9.3</v>
      </c>
      <c r="G6" s="4" t="s">
        <v>9</v>
      </c>
      <c r="H6" s="4" t="n">
        <f aca="false">VAR(Sheet1!$B$1:$B$13)</f>
        <v>1.05909090909091</v>
      </c>
      <c r="I6" s="4" t="n">
        <f aca="false">VAR(Sheet1!$C$1:$C$13)</f>
        <v>1.07787878787879</v>
      </c>
    </row>
    <row r="7" customFormat="false" ht="12.75" hidden="false" customHeight="false" outlineLevel="0" collapsed="false">
      <c r="A7" s="3" t="n">
        <v>6</v>
      </c>
      <c r="B7" s="3" t="n">
        <v>6.9</v>
      </c>
      <c r="C7" s="3" t="n">
        <v>7.6</v>
      </c>
      <c r="G7" s="4" t="s">
        <v>10</v>
      </c>
      <c r="H7" s="4" t="n">
        <f aca="false">COUNT(Sheet1!$B$1:$B$13)</f>
        <v>12</v>
      </c>
      <c r="I7" s="4" t="n">
        <f aca="false">COUNT(Sheet1!$C$1:$C$13)</f>
        <v>12</v>
      </c>
    </row>
    <row r="8" customFormat="false" ht="12.75" hidden="false" customHeight="false" outlineLevel="0" collapsed="false">
      <c r="A8" s="3" t="n">
        <v>7</v>
      </c>
      <c r="B8" s="3" t="n">
        <v>7.5</v>
      </c>
      <c r="C8" s="3" t="n">
        <v>8.2</v>
      </c>
      <c r="G8" s="4" t="s">
        <v>11</v>
      </c>
      <c r="H8" s="4" t="n">
        <f aca="false">CORREL(Sheet1!$B$1:$B$13,Sheet1!$C$1:$C$13)</f>
        <v>0.901055811772492</v>
      </c>
    </row>
    <row r="9" customFormat="false" ht="12.75" hidden="false" customHeight="false" outlineLevel="0" collapsed="false">
      <c r="A9" s="3" t="n">
        <v>8</v>
      </c>
      <c r="B9" s="3" t="n">
        <v>7.1</v>
      </c>
      <c r="C9" s="3" t="n">
        <v>7.7</v>
      </c>
      <c r="G9" s="4" t="s">
        <v>12</v>
      </c>
      <c r="H9" s="4" t="n">
        <f aca="false" t="array" ref="H9:H9">AVERAGE(IF(ISODD(IF(ISNUMBER(Sheet1!$B$1:$B$13), 1, 0) * IF(ISNUMBER(Sheet1!$C$1:$C$13), 1, 0)), Sheet1!$B$1:$B$13 - Sheet1!$C$1:$C$13, "NA"))</f>
        <v>-0.433333333333334</v>
      </c>
    </row>
    <row r="10" customFormat="false" ht="12.75" hidden="false" customHeight="false" outlineLevel="0" collapsed="false">
      <c r="A10" s="3" t="n">
        <v>9</v>
      </c>
      <c r="B10" s="3" t="n">
        <v>8.7</v>
      </c>
      <c r="C10" s="3" t="n">
        <v>9.4</v>
      </c>
      <c r="G10" s="4" t="s">
        <v>13</v>
      </c>
      <c r="H10" s="4" t="n">
        <f aca="false" t="array" ref="H10:H10">VAR(IF(ISODD(IF(ISNUMBER(Sheet1!$B$1:$B$13), 1, 0) * IF(ISNUMBER(Sheet1!$C$1:$C$13), 1, 0)), Sheet1!$B$1:$B$13 - Sheet1!$C$1:$C$13, "NA"))</f>
        <v>0.211515151515151</v>
      </c>
    </row>
    <row r="11" customFormat="false" ht="12.75" hidden="false" customHeight="false" outlineLevel="0" collapsed="false">
      <c r="A11" s="3" t="n">
        <v>10</v>
      </c>
      <c r="B11" s="3" t="n">
        <v>9.4</v>
      </c>
      <c r="C11" s="3" t="n">
        <v>8.9</v>
      </c>
      <c r="G11" s="4" t="s">
        <v>14</v>
      </c>
      <c r="H11" s="4" t="n">
        <f aca="false" t="array" ref="H11:H11">SUM(IF(ISNUMBER(Sheet1!$B$1:$B$13), 1, 0) * IF(ISNUMBER(Sheet1!$C$1:$C$13), 1, 0)) - 1</f>
        <v>11</v>
      </c>
    </row>
    <row r="12" customFormat="false" ht="12.75" hidden="false" customHeight="false" outlineLevel="0" collapsed="false">
      <c r="A12" s="3" t="n">
        <v>11</v>
      </c>
      <c r="B12" s="3" t="n">
        <v>9.4</v>
      </c>
      <c r="C12" s="3" t="n">
        <v>9.7</v>
      </c>
      <c r="G12" s="4" t="s">
        <v>15</v>
      </c>
      <c r="H12" s="4" t="n">
        <f aca="false">(Sheet1!$H$9 - Sheet1!$H$3) / (Sheet1!$H$10 / ( Sheet1!$H$11 + 1)) ^ 0.5</f>
        <v>-3.26393859147807</v>
      </c>
    </row>
    <row r="13" customFormat="false" ht="12.75" hidden="false" customHeight="false" outlineLevel="0" collapsed="false">
      <c r="A13" s="3" t="n">
        <v>12</v>
      </c>
      <c r="B13" s="3" t="n">
        <v>8.1</v>
      </c>
      <c r="C13" s="3" t="n">
        <v>9.1</v>
      </c>
      <c r="G13" s="4" t="s">
        <v>16</v>
      </c>
      <c r="H13" s="4" t="n">
        <f aca="false">TDIST(ABS(Sheet1!$H$12), Sheet1!$H$11, 1)</f>
        <v>0.00377299731515574</v>
      </c>
    </row>
    <row r="14" customFormat="false" ht="12.75" hidden="false" customHeight="false" outlineLevel="0" collapsed="false">
      <c r="G14" s="0" t="s">
        <v>17</v>
      </c>
      <c r="H14" s="0" t="n">
        <f aca="false">TINV(2*Sheet1!$H$2, Sheet1!$H$11)</f>
        <v>1.79588481870404</v>
      </c>
    </row>
    <row r="15" customFormat="false" ht="12.75" hidden="false" customHeight="false" outlineLevel="0" collapsed="false">
      <c r="G15" s="0" t="s">
        <v>18</v>
      </c>
      <c r="H15" s="0" t="n">
        <f aca="false">TDIST(ABS(Sheet1!$H$12), Sheet1!$H$11, 2)</f>
        <v>0.00754599463031149</v>
      </c>
    </row>
    <row r="16" customFormat="false" ht="12.75" hidden="false" customHeight="false" outlineLevel="0" collapsed="false">
      <c r="G16" s="0" t="s">
        <v>19</v>
      </c>
      <c r="H16" s="0" t="n">
        <f aca="false">TINV(Sheet1!$H$2, Sheet1!$H$11)</f>
        <v>2.20098516009164</v>
      </c>
    </row>
    <row r="19" customFormat="false" ht="19.7" hidden="false" customHeight="false" outlineLevel="0" collapsed="false">
      <c r="G19" s="5" t="s">
        <v>20</v>
      </c>
    </row>
    <row r="20" customFormat="false" ht="12.75" hidden="false" customHeight="false" outlineLevel="0" collapsed="false">
      <c r="G20" s="6" t="s">
        <v>21</v>
      </c>
    </row>
    <row r="21" customFormat="false" ht="35.05" hidden="false" customHeight="false" outlineLevel="0" collapsed="false">
      <c r="G21" s="6" t="s">
        <v>22</v>
      </c>
    </row>
    <row r="22" customFormat="false" ht="23.85" hidden="false" customHeight="false" outlineLevel="0" collapsed="false">
      <c r="G22" s="6" t="s">
        <v>23</v>
      </c>
    </row>
    <row r="23" customFormat="false" ht="12.75" hidden="false" customHeight="false" outlineLevel="0" collapsed="false">
      <c r="G23" s="6" t="s">
        <v>24</v>
      </c>
    </row>
    <row r="24" customFormat="false" ht="23.85" hidden="false" customHeight="false" outlineLevel="0" collapsed="false">
      <c r="G24" s="6" t="s">
        <v>25</v>
      </c>
    </row>
    <row r="25" customFormat="false" ht="46.25" hidden="false" customHeight="false" outlineLevel="0" collapsed="false">
      <c r="G25" s="7" t="s">
        <v>26</v>
      </c>
    </row>
    <row r="26" customFormat="false" ht="12.75" hidden="false" customHeight="false" outlineLevel="0" collapsed="false">
      <c r="G26" s="4"/>
    </row>
    <row r="27" customFormat="false" ht="19.7" hidden="false" customHeight="false" outlineLevel="0" collapsed="false">
      <c r="G27" s="5" t="s">
        <v>27</v>
      </c>
    </row>
    <row r="28" customFormat="false" ht="12.75" hidden="false" customHeight="false" outlineLevel="0" collapsed="false">
      <c r="G28" s="6" t="s">
        <v>28</v>
      </c>
    </row>
    <row r="29" customFormat="false" ht="12.75" hidden="false" customHeight="false" outlineLevel="0" collapsed="false">
      <c r="G29" s="6" t="s">
        <v>29</v>
      </c>
    </row>
    <row r="30" customFormat="false" ht="23.85" hidden="false" customHeight="false" outlineLevel="0" collapsed="false">
      <c r="G30" s="6" t="s">
        <v>30</v>
      </c>
    </row>
    <row r="31" customFormat="false" ht="35.05" hidden="false" customHeight="false" outlineLevel="0" collapsed="false">
      <c r="G31" s="7" t="s">
        <v>31</v>
      </c>
    </row>
    <row r="32" customFormat="false" ht="12.75" hidden="false" customHeight="false" outlineLevel="0" collapsed="false">
      <c r="G32" s="6" t="s">
        <v>32</v>
      </c>
    </row>
    <row r="33" customFormat="false" ht="12.75" hidden="false" customHeight="false" outlineLevel="0" collapsed="false">
      <c r="G33" s="6" t="s">
        <v>33</v>
      </c>
    </row>
    <row r="34" customFormat="false" ht="12.75" hidden="false" customHeight="false" outlineLevel="0" collapsed="false">
      <c r="G34" s="6" t="s">
        <v>34</v>
      </c>
    </row>
    <row r="35" customFormat="false" ht="12.75" hidden="false" customHeight="false" outlineLevel="0" collapsed="false">
      <c r="G35" s="4"/>
    </row>
    <row r="36" customFormat="false" ht="35.8" hidden="false" customHeight="false" outlineLevel="0" collapsed="false">
      <c r="G36" s="5" t="s">
        <v>35</v>
      </c>
    </row>
    <row r="37" customFormat="false" ht="23.85" hidden="false" customHeight="false" outlineLevel="0" collapsed="false">
      <c r="G37" s="7" t="s">
        <v>36</v>
      </c>
    </row>
    <row r="38" customFormat="false" ht="35.05" hidden="false" customHeight="false" outlineLevel="0" collapsed="false">
      <c r="G38" s="7" t="s">
        <v>37</v>
      </c>
    </row>
    <row r="39" customFormat="false" ht="12.75" hidden="false" customHeight="false" outlineLevel="0" collapsed="false">
      <c r="G39" s="7" t="s">
        <v>38</v>
      </c>
    </row>
    <row r="40" customFormat="false" ht="12.75" hidden="false" customHeight="false" outlineLevel="0" collapsed="false">
      <c r="G40" s="4"/>
    </row>
    <row r="41" customFormat="false" ht="35.8" hidden="false" customHeight="false" outlineLevel="0" collapsed="false">
      <c r="G41" s="5" t="s">
        <v>39</v>
      </c>
    </row>
    <row r="42" customFormat="false" ht="68.65" hidden="false" customHeight="false" outlineLevel="0" collapsed="false">
      <c r="G42" s="7" t="s">
        <v>40</v>
      </c>
    </row>
    <row r="43" customFormat="false" ht="46.25" hidden="false" customHeight="false" outlineLevel="0" collapsed="false">
      <c r="G43" s="7" t="s">
        <v>41</v>
      </c>
    </row>
    <row r="44" customFormat="false" ht="12.75" hidden="false" customHeight="false" outlineLevel="0" collapsed="false">
      <c r="G44" s="4"/>
    </row>
    <row r="45" customFormat="false" ht="19.7" hidden="false" customHeight="false" outlineLevel="0" collapsed="false">
      <c r="G45" s="5" t="s">
        <v>42</v>
      </c>
    </row>
    <row r="46" customFormat="false" ht="23.85" hidden="false" customHeight="false" outlineLevel="0" collapsed="false">
      <c r="G46" s="6" t="s">
        <v>43</v>
      </c>
    </row>
    <row r="47" customFormat="false" ht="57.45" hidden="false" customHeight="false" outlineLevel="0" collapsed="false">
      <c r="G47" s="7" t="s">
        <v>44</v>
      </c>
    </row>
    <row r="48" customFormat="false" ht="12.75" hidden="false" customHeight="false" outlineLevel="0" collapsed="false">
      <c r="G48" s="6" t="s">
        <v>45</v>
      </c>
    </row>
    <row r="49" customFormat="false" ht="35.05" hidden="false" customHeight="false" outlineLevel="0" collapsed="false">
      <c r="G49" s="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2006-09-19T08:23:28Z</dcterms:created>
  <dc:creator>K. F. Jones</dc:creator>
  <dc:description/>
  <dc:language>en-GB</dc:language>
  <cp:lastModifiedBy/>
  <dcterms:modified xsi:type="dcterms:W3CDTF">2026-01-04T14:09:27Z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
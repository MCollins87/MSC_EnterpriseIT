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ER" sheetId="1" state="visible" r:id="rId3"/>
    <sheet name="desription" sheetId="2" state="visible" r:id="rId4"/>
  </sheets>
  <definedNames>
    <definedName function="false" hidden="false" name="SUPER" vbProcedure="false">SUPER!$A$1:$B$121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<sst xmlns="http://schemas.openxmlformats.org/spreadsheetml/2006/main" count="154" uniqueCount="33">
  <si>
    <t xml:space="preserve">Sex</t>
  </si>
  <si>
    <t xml:space="preserve">Income</t>
  </si>
  <si>
    <t xml:space="preserve">Paired t-test</t>
  </si>
  <si>
    <t xml:space="preserve">Male</t>
  </si>
  <si>
    <t xml:space="preserve">Female</t>
  </si>
  <si>
    <t xml:space="preserve">M</t>
  </si>
  <si>
    <t xml:space="preserve">Alpha</t>
  </si>
  <si>
    <t xml:space="preserve">Min</t>
  </si>
  <si>
    <t xml:space="preserve">Hypothesized Mean Difference</t>
  </si>
  <si>
    <t xml:space="preserve">Max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</si>
  <si>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</si>
  <si>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</si>
  <si>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</si>
  <si>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</si>
  <si>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</si>
  <si>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</si>
  <si>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</si>
  <si>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</si>
  <si>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</si>
  <si>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</si>
  <si>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Decision</t>
  </si>
  <si>
    <t xml:space="preserve">P (T&lt;=t) one-tail</t>
  </si>
  <si>
    <t xml:space="preserve">If p &lt; 0.05 → reject H0H_0H0​</t>
  </si>
  <si>
    <t xml:space="preserve">t Critical one-tail</t>
  </si>
  <si>
    <t xml:space="preserve">Otherwise → fail to reject H0H_0H0​</t>
  </si>
  <si>
    <t xml:space="preserve">P (T&lt;=t) two-tail</t>
  </si>
  <si>
    <t xml:space="preserve">t Critical two-tail</t>
  </si>
  <si>
    <t xml:space="preserve">F</t>
  </si>
  <si>
    <t xml:space="preserve">This data set shows the incomes of 60 male and 60 female cardholders of a certain bank's "Superplus Diamond" card. </t>
  </si>
  <si>
    <t xml:space="preserve">Variable</t>
  </si>
  <si>
    <t xml:space="preserve">Description</t>
  </si>
  <si>
    <t xml:space="preserve">The cardholder’s sex (F = female, M = male)</t>
  </si>
  <si>
    <t xml:space="preserve">The cardholder’s gross annual income (in £’000’s)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</si>
</sst>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0"/>
      <name val="MS Sans Serif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MS Sans Serif"/>
      <family val="2"/>
      <charset val="1"/>
    </font>
    <font>
      <b val="true"/>
      <sz val="10"/>
      <name val="MS Sans Serif"/>
      <family val="0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Income of Male vs Femal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SUPER!$M$1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SUPER!$L$2:$L$17</c:f>
              <c:strCache>
                <c:ptCount val="16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  <c:pt idx="11">
                  <c:v>85</c:v>
                </c:pt>
                <c:pt idx="12">
                  <c:v>90</c:v>
                </c:pt>
                <c:pt idx="13">
                  <c:v>95</c:v>
                </c:pt>
                <c:pt idx="14">
                  <c:v>100</c:v>
                </c:pt>
                <c:pt idx="15">
                  <c:v>105</c:v>
                </c:pt>
              </c:strCache>
            </c:strRef>
          </c:cat>
          <c:val>
            <c:numRef>
              <c:f>SUPER!$M$2:$M$17</c:f>
              <c:numCache>
                <c:formatCode>General</c:formatCode>
                <c:ptCount val="16"/>
                <c:pt idx="0">
                  <c:v>0</c:v>
                </c:pt>
                <c:pt idx="1">
                  <c:v>9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14</c:v>
                </c:pt>
                <c:pt idx="6">
                  <c:v>7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</c:numCache>
            </c:numRef>
          </c:val>
        </c:ser>
        <c:ser>
          <c:idx val="1"/>
          <c:order val="1"/>
          <c:tx>
            <c:strRef>
              <c:f>SUPER!$N$1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SUPER!$L$2:$L$17</c:f>
              <c:strCache>
                <c:ptCount val="16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  <c:pt idx="11">
                  <c:v>85</c:v>
                </c:pt>
                <c:pt idx="12">
                  <c:v>90</c:v>
                </c:pt>
                <c:pt idx="13">
                  <c:v>95</c:v>
                </c:pt>
                <c:pt idx="14">
                  <c:v>100</c:v>
                </c:pt>
                <c:pt idx="15">
                  <c:v>105</c:v>
                </c:pt>
              </c:strCache>
            </c:strRef>
          </c:cat>
          <c:val>
            <c:numRef>
              <c:f>SUPER!$N$2:$N$17</c:f>
              <c:numCache>
                <c:formatCode>General</c:formatCode>
                <c:ptCount val="16"/>
                <c:pt idx="0">
                  <c:v>1</c:v>
                </c:pt>
                <c:pt idx="1">
                  <c:v>19</c:v>
                </c:pt>
                <c:pt idx="2">
                  <c:v>12</c:v>
                </c:pt>
                <c:pt idx="3">
                  <c:v>6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100"/>
        <c:overlap val="0"/>
        <c:axId val="98929070"/>
        <c:axId val="17332856"/>
      </c:barChart>
      <c:catAx>
        <c:axId val="9892907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Income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332856"/>
        <c:crosses val="autoZero"/>
        <c:auto val="1"/>
        <c:lblAlgn val="ctr"/>
        <c:lblOffset val="100"/>
        <c:noMultiLvlLbl val="0"/>
      </c:catAx>
      <c:valAx>
        <c:axId val="173328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892907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2119320</xdr:colOff>
      <xdr:row>17</xdr:row>
      <xdr:rowOff>38520</xdr:rowOff>
    </xdr:from>
    <xdr:to>
      <xdr:col>19</xdr:col>
      <xdr:colOff>161640</xdr:colOff>
      <xdr:row>46</xdr:row>
      <xdr:rowOff>84600</xdr:rowOff>
    </xdr:to>
    <xdr:graphicFrame>
      <xdr:nvGraphicFramePr>
        <xdr:cNvPr id="0" name=""/>
        <xdr:cNvGraphicFramePr/>
      </xdr:nvGraphicFramePr>
      <xdr:xfrm>
        <a:off x="8793720" y="2900520"/>
        <a:ext cx="7199640" cy="474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5" activeCellId="0" sqref="J5"/>
    </sheetView>
  </sheetViews>
  <sheetFormatPr defaultColWidth="8.66015625" defaultRowHeight="12.75" zeroHeight="false" outlineLevelRow="0" outlineLevelCol="0"/>
  <cols>
    <col collapsed="false" customWidth="true" hidden="false" outlineLevel="0" max="5" min="5" style="0" width="26.46"/>
    <col collapsed="false" customWidth="true" hidden="false" outlineLevel="0" max="7" min="6" style="0" width="11.23"/>
    <col collapsed="false" customWidth="true" hidden="false" outlineLevel="0" max="9" min="9" style="0" width="31.42"/>
    <col collapsed="false" customWidth="true" hidden="false" outlineLevel="0" max="13" min="13" style="0" width="11.96"/>
    <col collapsed="false" customWidth="true" hidden="false" outlineLevel="0" max="14" min="14" style="0" width="13.86"/>
  </cols>
  <sheetData>
    <row r="1" customFormat="false" ht="14.9" hidden="false" customHeight="false" outlineLevel="0" collapsed="false">
      <c r="A1" s="1" t="s">
        <v>0</v>
      </c>
      <c r="B1" s="1" t="s">
        <v>1</v>
      </c>
      <c r="E1" s="2" t="s">
        <v>2</v>
      </c>
      <c r="L1" s="3" t="s">
        <v>1</v>
      </c>
      <c r="M1" s="3" t="s">
        <v>3</v>
      </c>
      <c r="N1" s="3" t="s">
        <v>4</v>
      </c>
    </row>
    <row r="2" customFormat="false" ht="12.75" hidden="false" customHeight="false" outlineLevel="0" collapsed="false">
      <c r="A2" s="4" t="s">
        <v>5</v>
      </c>
      <c r="B2" s="5" t="n">
        <v>40.6</v>
      </c>
      <c r="E2" s="3" t="s">
        <v>6</v>
      </c>
      <c r="F2" s="0" t="n">
        <v>0.05</v>
      </c>
      <c r="J2" s="3" t="s">
        <v>7</v>
      </c>
      <c r="K2" s="3" t="n">
        <f aca="false">MIN(B2:B121)</f>
        <v>30</v>
      </c>
      <c r="L2" s="0" t="n">
        <v>30</v>
      </c>
      <c r="M2" s="3" t="n">
        <f aca="false" t="array" ref="M2:M18">FREQUENCY(B$2:B$61,L$2:L$17)</f>
        <v>0</v>
      </c>
      <c r="N2" s="3" t="n">
        <f aca="false" t="array" ref="N2:N18">FREQUENCY(B62:B121,L2:L17)</f>
        <v>1</v>
      </c>
    </row>
    <row r="3" customFormat="false" ht="12.75" hidden="false" customHeight="false" outlineLevel="0" collapsed="false">
      <c r="A3" s="4" t="s">
        <v>5</v>
      </c>
      <c r="B3" s="5" t="n">
        <v>54.6</v>
      </c>
      <c r="E3" s="3" t="s">
        <v>8</v>
      </c>
      <c r="F3" s="0" t="n">
        <v>0</v>
      </c>
      <c r="J3" s="3" t="s">
        <v>9</v>
      </c>
      <c r="K3" s="3" t="n">
        <f aca="false">MAX(B2:B121)</f>
        <v>100.9</v>
      </c>
      <c r="L3" s="0" t="n">
        <v>35</v>
      </c>
      <c r="M3" s="3" t="n">
        <v>9</v>
      </c>
      <c r="N3" s="3" t="n">
        <v>19</v>
      </c>
    </row>
    <row r="4" customFormat="false" ht="14.9" hidden="false" customHeight="false" outlineLevel="0" collapsed="false">
      <c r="A4" s="4" t="s">
        <v>5</v>
      </c>
      <c r="B4" s="5" t="n">
        <v>38.6</v>
      </c>
      <c r="F4" s="2" t="s">
        <v>10</v>
      </c>
      <c r="G4" s="2" t="s">
        <v>11</v>
      </c>
      <c r="L4" s="0" t="n">
        <v>40</v>
      </c>
      <c r="M4" s="3" t="n">
        <v>4</v>
      </c>
      <c r="N4" s="3" t="n">
        <v>12</v>
      </c>
    </row>
    <row r="5" customFormat="false" ht="12.75" hidden="false" customHeight="false" outlineLevel="0" collapsed="false">
      <c r="A5" s="4" t="s">
        <v>5</v>
      </c>
      <c r="B5" s="5" t="n">
        <v>58.2</v>
      </c>
      <c r="E5" s="3" t="s">
        <v>12</v>
      </c>
      <c r="F5" s="3" t="n">
        <f aca="false">AVERAGE(SUPER!$B$2:$B$61)</f>
        <v>52.9133333333333</v>
      </c>
      <c r="G5" s="3" t="n">
        <f aca="false">AVERAGE(SUPER!$B$62:$B$121)</f>
        <v>44.2333333333333</v>
      </c>
      <c r="L5" s="0" t="n">
        <v>45</v>
      </c>
      <c r="M5" s="3" t="n">
        <v>5</v>
      </c>
      <c r="N5" s="3" t="n">
        <v>6</v>
      </c>
    </row>
    <row r="6" customFormat="false" ht="12.75" hidden="false" customHeight="false" outlineLevel="0" collapsed="false">
      <c r="A6" s="4" t="s">
        <v>5</v>
      </c>
      <c r="B6" s="5" t="n">
        <v>34.6</v>
      </c>
      <c r="E6" s="3" t="s">
        <v>13</v>
      </c>
      <c r="F6" s="3" t="n">
        <f aca="false">VAR(SUPER!$B$2:$B$61)</f>
        <v>233.128971751412</v>
      </c>
      <c r="G6" s="3" t="n">
        <f aca="false">VAR(SUPER!$B$62:$B$121)</f>
        <v>190.17581920904</v>
      </c>
      <c r="L6" s="0" t="n">
        <v>50</v>
      </c>
      <c r="M6" s="3" t="n">
        <v>7</v>
      </c>
      <c r="N6" s="3" t="n">
        <v>4</v>
      </c>
    </row>
    <row r="7" customFormat="false" ht="12.75" hidden="false" customHeight="false" outlineLevel="0" collapsed="false">
      <c r="A7" s="4" t="s">
        <v>5</v>
      </c>
      <c r="B7" s="5" t="n">
        <v>42.9</v>
      </c>
      <c r="E7" s="3" t="s">
        <v>14</v>
      </c>
      <c r="F7" s="3" t="n">
        <f aca="false">COUNT(SUPER!$B$2:$B$61)</f>
        <v>60</v>
      </c>
      <c r="G7" s="3" t="n">
        <f aca="false">COUNT(SUPER!$B$62:$B$121)</f>
        <v>60</v>
      </c>
      <c r="L7" s="0" t="n">
        <v>55</v>
      </c>
      <c r="M7" s="3" t="n">
        <v>14</v>
      </c>
      <c r="N7" s="3" t="n">
        <v>5</v>
      </c>
    </row>
    <row r="8" customFormat="false" ht="12.75" hidden="false" customHeight="false" outlineLevel="0" collapsed="false">
      <c r="A8" s="4" t="s">
        <v>5</v>
      </c>
      <c r="B8" s="5" t="n">
        <v>67.5</v>
      </c>
      <c r="E8" s="3" t="s">
        <v>15</v>
      </c>
      <c r="F8" s="3" t="n">
        <f aca="false">CORREL(SUPER!$B$2:$B$61,SUPER!$B$62:$B$121)</f>
        <v>0.248946638294455</v>
      </c>
      <c r="L8" s="0" t="n">
        <v>60</v>
      </c>
      <c r="M8" s="3" t="n">
        <v>7</v>
      </c>
      <c r="N8" s="3" t="n">
        <v>3</v>
      </c>
    </row>
    <row r="9" customFormat="false" ht="12.75" hidden="false" customHeight="false" outlineLevel="0" collapsed="false">
      <c r="A9" s="4" t="s">
        <v>5</v>
      </c>
      <c r="B9" s="5" t="n">
        <v>79.8</v>
      </c>
      <c r="E9" s="3" t="s">
        <v>16</v>
      </c>
      <c r="F9" s="3" t="n">
        <f aca="false" t="array" ref="F9:F9">AVERAGE(IF(ISODD(IF(ISNUMBER(SUPER!$B$2:$B$61), 1, 0) * IF(ISNUMBER(SUPER!$B$62:$B$121), 1, 0)), SUPER!$B$2:$B$61 - SUPER!$B$62:$B$121, "NA"))</f>
        <v>8.68</v>
      </c>
      <c r="L9" s="0" t="n">
        <v>65</v>
      </c>
      <c r="M9" s="3" t="n">
        <v>2</v>
      </c>
      <c r="N9" s="3" t="n">
        <v>4</v>
      </c>
    </row>
    <row r="10" customFormat="false" ht="12.75" hidden="false" customHeight="false" outlineLevel="0" collapsed="false">
      <c r="A10" s="4" t="s">
        <v>5</v>
      </c>
      <c r="B10" s="5" t="n">
        <v>54.4</v>
      </c>
      <c r="E10" s="3" t="s">
        <v>17</v>
      </c>
      <c r="F10" s="3" t="n">
        <f aca="false" t="array" ref="F10:F10">VAR(IF(ISODD(IF(ISNUMBER(SUPER!$B$2:$B$61), 1, 0) * IF(ISNUMBER(SUPER!$B$62:$B$121), 1, 0)), SUPER!$B$2:$B$61 - SUPER!$B$62:$B$121, "NA"))</f>
        <v>318.468406779661</v>
      </c>
      <c r="L10" s="0" t="n">
        <v>70</v>
      </c>
      <c r="M10" s="3" t="n">
        <v>3</v>
      </c>
      <c r="N10" s="3" t="n">
        <v>3</v>
      </c>
    </row>
    <row r="11" customFormat="false" ht="12.75" hidden="false" customHeight="false" outlineLevel="0" collapsed="false">
      <c r="A11" s="4" t="s">
        <v>5</v>
      </c>
      <c r="B11" s="5" t="n">
        <v>47.3</v>
      </c>
      <c r="E11" s="3" t="s">
        <v>18</v>
      </c>
      <c r="F11" s="3" t="n">
        <f aca="false" t="array" ref="F11:F11">SUM(IF(ISNUMBER(SUPER!$B$2:$B$61), 1, 0) * IF(ISNUMBER(SUPER!$B$62:$B$121), 1, 0)) - 1</f>
        <v>59</v>
      </c>
      <c r="L11" s="0" t="n">
        <v>75</v>
      </c>
      <c r="M11" s="3" t="n">
        <v>3</v>
      </c>
      <c r="N11" s="3" t="n">
        <v>0</v>
      </c>
    </row>
    <row r="12" customFormat="false" ht="12.75" hidden="false" customHeight="false" outlineLevel="0" collapsed="false">
      <c r="A12" s="4" t="s">
        <v>5</v>
      </c>
      <c r="B12" s="5" t="n">
        <v>66.4</v>
      </c>
      <c r="E12" s="3" t="s">
        <v>19</v>
      </c>
      <c r="F12" s="3" t="n">
        <f aca="false">(SUPER!$F$9 - SUPER!$F$3) / (SUPER!$F$10 / ( SUPER!$F$11 + 1)) ^ 0.5</f>
        <v>3.76757731031107</v>
      </c>
      <c r="I12" s="2" t="s">
        <v>20</v>
      </c>
      <c r="L12" s="0" t="n">
        <v>80</v>
      </c>
      <c r="M12" s="3" t="n">
        <v>2</v>
      </c>
      <c r="N12" s="3" t="n">
        <v>2</v>
      </c>
    </row>
    <row r="13" customFormat="false" ht="14.9" hidden="false" customHeight="false" outlineLevel="0" collapsed="false">
      <c r="A13" s="4" t="s">
        <v>5</v>
      </c>
      <c r="B13" s="5" t="n">
        <v>69</v>
      </c>
      <c r="E13" s="3" t="s">
        <v>21</v>
      </c>
      <c r="F13" s="3" t="n">
        <f aca="false">TDIST(ABS(SUPER!$F$12), SUPER!$F$11, 1)</f>
        <v>0.000191423645404172</v>
      </c>
      <c r="G13" s="3" t="n">
        <f aca="false">_xlfn.T.TEST(B2:B61,B62:B121,1,3)</f>
        <v>0.000711603559576477</v>
      </c>
      <c r="I13" s="6" t="s">
        <v>22</v>
      </c>
      <c r="L13" s="0" t="n">
        <v>85</v>
      </c>
      <c r="M13" s="3" t="n">
        <v>3</v>
      </c>
      <c r="N13" s="3" t="n">
        <v>1</v>
      </c>
    </row>
    <row r="14" customFormat="false" ht="14.9" hidden="false" customHeight="false" outlineLevel="0" collapsed="false">
      <c r="A14" s="4" t="s">
        <v>5</v>
      </c>
      <c r="B14" s="5" t="n">
        <v>62</v>
      </c>
      <c r="E14" s="3" t="s">
        <v>23</v>
      </c>
      <c r="F14" s="3" t="n">
        <f aca="false">TINV(2*SUPER!$F$2, SUPER!$F$11)</f>
        <v>1.67109303210389</v>
      </c>
      <c r="I14" s="6" t="s">
        <v>24</v>
      </c>
      <c r="L14" s="0" t="n">
        <v>90</v>
      </c>
      <c r="M14" s="3" t="n">
        <v>0</v>
      </c>
      <c r="N14" s="3" t="n">
        <v>0</v>
      </c>
    </row>
    <row r="15" customFormat="false" ht="12.75" hidden="false" customHeight="false" outlineLevel="0" collapsed="false">
      <c r="A15" s="4" t="s">
        <v>5</v>
      </c>
      <c r="B15" s="5" t="n">
        <v>52.5</v>
      </c>
      <c r="E15" s="3" t="s">
        <v>25</v>
      </c>
      <c r="F15" s="3" t="n">
        <f aca="false">TDIST(ABS(SUPER!$F$12), SUPER!$F$11, 2)</f>
        <v>0.000382847290808344</v>
      </c>
      <c r="L15" s="0" t="n">
        <v>95</v>
      </c>
      <c r="M15" s="3" t="n">
        <v>0</v>
      </c>
      <c r="N15" s="3" t="n">
        <v>0</v>
      </c>
    </row>
    <row r="16" customFormat="false" ht="12.75" hidden="false" customHeight="false" outlineLevel="0" collapsed="false">
      <c r="A16" s="4" t="s">
        <v>5</v>
      </c>
      <c r="B16" s="5" t="n">
        <v>72.6</v>
      </c>
      <c r="E16" s="3" t="s">
        <v>26</v>
      </c>
      <c r="F16" s="3" t="n">
        <f aca="false">TINV(SUPER!$F$2, SUPER!$F$11)</f>
        <v>2.00099537808827</v>
      </c>
      <c r="L16" s="0" t="n">
        <v>100</v>
      </c>
      <c r="M16" s="3" t="n">
        <v>0</v>
      </c>
      <c r="N16" s="3" t="n">
        <v>0</v>
      </c>
    </row>
    <row r="17" customFormat="false" ht="12.75" hidden="false" customHeight="false" outlineLevel="0" collapsed="false">
      <c r="A17" s="4" t="s">
        <v>5</v>
      </c>
      <c r="B17" s="5" t="n">
        <v>52.4</v>
      </c>
      <c r="L17" s="0" t="n">
        <v>105</v>
      </c>
      <c r="M17" s="3" t="n">
        <v>1</v>
      </c>
      <c r="N17" s="3" t="n">
        <v>0</v>
      </c>
    </row>
    <row r="18" customFormat="false" ht="12.75" hidden="false" customHeight="false" outlineLevel="0" collapsed="false">
      <c r="A18" s="4" t="s">
        <v>5</v>
      </c>
      <c r="B18" s="5" t="n">
        <v>59.5</v>
      </c>
      <c r="M18" s="3" t="n">
        <v>0</v>
      </c>
      <c r="N18" s="3" t="n">
        <v>0</v>
      </c>
    </row>
    <row r="19" customFormat="false" ht="12.75" hidden="false" customHeight="false" outlineLevel="0" collapsed="false">
      <c r="A19" s="4" t="s">
        <v>5</v>
      </c>
      <c r="B19" s="5" t="n">
        <v>59.1</v>
      </c>
    </row>
    <row r="20" customFormat="false" ht="12.75" hidden="false" customHeight="false" outlineLevel="0" collapsed="false">
      <c r="A20" s="4" t="s">
        <v>5</v>
      </c>
      <c r="B20" s="5" t="n">
        <v>36.7</v>
      </c>
    </row>
    <row r="21" customFormat="false" ht="12.75" hidden="false" customHeight="false" outlineLevel="0" collapsed="false">
      <c r="A21" s="4" t="s">
        <v>5</v>
      </c>
      <c r="B21" s="5" t="n">
        <v>54.6</v>
      </c>
    </row>
    <row r="22" customFormat="false" ht="12.75" hidden="false" customHeight="false" outlineLevel="0" collapsed="false">
      <c r="A22" s="4" t="s">
        <v>5</v>
      </c>
      <c r="B22" s="5" t="n">
        <v>52.1</v>
      </c>
    </row>
    <row r="23" customFormat="false" ht="12.75" hidden="false" customHeight="false" outlineLevel="0" collapsed="false">
      <c r="A23" s="4" t="s">
        <v>5</v>
      </c>
      <c r="B23" s="5" t="n">
        <v>49.9</v>
      </c>
    </row>
    <row r="24" customFormat="false" ht="12.75" hidden="false" customHeight="false" outlineLevel="0" collapsed="false">
      <c r="A24" s="4" t="s">
        <v>5</v>
      </c>
      <c r="B24" s="5" t="n">
        <v>52</v>
      </c>
    </row>
    <row r="25" customFormat="false" ht="12.75" hidden="false" customHeight="false" outlineLevel="0" collapsed="false">
      <c r="A25" s="4" t="s">
        <v>5</v>
      </c>
      <c r="B25" s="5" t="n">
        <v>47.1</v>
      </c>
    </row>
    <row r="26" customFormat="false" ht="12.75" hidden="false" customHeight="false" outlineLevel="0" collapsed="false">
      <c r="A26" s="4" t="s">
        <v>5</v>
      </c>
      <c r="B26" s="5" t="n">
        <v>40.8</v>
      </c>
    </row>
    <row r="27" customFormat="false" ht="12.75" hidden="false" customHeight="false" outlineLevel="0" collapsed="false">
      <c r="A27" s="4" t="s">
        <v>5</v>
      </c>
      <c r="B27" s="5" t="n">
        <v>36.5</v>
      </c>
    </row>
    <row r="28" customFormat="false" ht="12.75" hidden="false" customHeight="false" outlineLevel="0" collapsed="false">
      <c r="A28" s="4" t="s">
        <v>5</v>
      </c>
      <c r="B28" s="5" t="n">
        <v>57.1</v>
      </c>
    </row>
    <row r="29" customFormat="false" ht="12.75" hidden="false" customHeight="false" outlineLevel="0" collapsed="false">
      <c r="A29" s="4" t="s">
        <v>5</v>
      </c>
      <c r="B29" s="5" t="n">
        <v>54.1</v>
      </c>
    </row>
    <row r="30" customFormat="false" ht="12.75" hidden="false" customHeight="false" outlineLevel="0" collapsed="false">
      <c r="A30" s="4" t="s">
        <v>5</v>
      </c>
      <c r="B30" s="5" t="n">
        <v>32.4</v>
      </c>
    </row>
    <row r="31" customFormat="false" ht="12.75" hidden="false" customHeight="false" outlineLevel="0" collapsed="false">
      <c r="A31" s="4" t="s">
        <v>5</v>
      </c>
      <c r="B31" s="5" t="n">
        <v>34.9</v>
      </c>
    </row>
    <row r="32" customFormat="false" ht="12.75" hidden="false" customHeight="false" outlineLevel="0" collapsed="false">
      <c r="A32" s="4" t="s">
        <v>5</v>
      </c>
      <c r="B32" s="5" t="n">
        <v>64.1</v>
      </c>
    </row>
    <row r="33" customFormat="false" ht="12.75" hidden="false" customHeight="false" outlineLevel="0" collapsed="false">
      <c r="A33" s="4" t="s">
        <v>5</v>
      </c>
      <c r="B33" s="5" t="n">
        <v>54</v>
      </c>
    </row>
    <row r="34" customFormat="false" ht="12.75" hidden="false" customHeight="false" outlineLevel="0" collapsed="false">
      <c r="A34" s="4" t="s">
        <v>5</v>
      </c>
      <c r="B34" s="5" t="n">
        <v>51.5</v>
      </c>
    </row>
    <row r="35" customFormat="false" ht="12.75" hidden="false" customHeight="false" outlineLevel="0" collapsed="false">
      <c r="A35" s="4" t="s">
        <v>5</v>
      </c>
      <c r="B35" s="5" t="n">
        <v>50.8</v>
      </c>
    </row>
    <row r="36" customFormat="false" ht="12.75" hidden="false" customHeight="false" outlineLevel="0" collapsed="false">
      <c r="A36" s="4" t="s">
        <v>5</v>
      </c>
      <c r="B36" s="5" t="n">
        <v>45.1</v>
      </c>
    </row>
    <row r="37" customFormat="false" ht="12.75" hidden="false" customHeight="false" outlineLevel="0" collapsed="false">
      <c r="A37" s="4" t="s">
        <v>5</v>
      </c>
      <c r="B37" s="5" t="n">
        <v>81.5</v>
      </c>
    </row>
    <row r="38" customFormat="false" ht="12.75" hidden="false" customHeight="false" outlineLevel="0" collapsed="false">
      <c r="A38" s="4" t="s">
        <v>5</v>
      </c>
      <c r="B38" s="5" t="n">
        <v>70.4</v>
      </c>
    </row>
    <row r="39" customFormat="false" ht="12.75" hidden="false" customHeight="false" outlineLevel="0" collapsed="false">
      <c r="A39" s="4" t="s">
        <v>5</v>
      </c>
      <c r="B39" s="5" t="n">
        <v>39.2</v>
      </c>
    </row>
    <row r="40" customFormat="false" ht="12.75" hidden="false" customHeight="false" outlineLevel="0" collapsed="false">
      <c r="A40" s="4" t="s">
        <v>5</v>
      </c>
      <c r="B40" s="5" t="n">
        <v>45.2</v>
      </c>
    </row>
    <row r="41" customFormat="false" ht="12.75" hidden="false" customHeight="false" outlineLevel="0" collapsed="false">
      <c r="A41" s="4" t="s">
        <v>5</v>
      </c>
      <c r="B41" s="5" t="n">
        <v>80.9</v>
      </c>
    </row>
    <row r="42" customFormat="false" ht="12.75" hidden="false" customHeight="false" outlineLevel="0" collapsed="false">
      <c r="A42" s="4" t="s">
        <v>5</v>
      </c>
      <c r="B42" s="5" t="n">
        <v>48.6</v>
      </c>
    </row>
    <row r="43" customFormat="false" ht="12.75" hidden="false" customHeight="false" outlineLevel="0" collapsed="false">
      <c r="A43" s="4" t="s">
        <v>5</v>
      </c>
      <c r="B43" s="5" t="n">
        <v>31</v>
      </c>
    </row>
    <row r="44" customFormat="false" ht="12.75" hidden="false" customHeight="false" outlineLevel="0" collapsed="false">
      <c r="A44" s="4" t="s">
        <v>5</v>
      </c>
      <c r="B44" s="5" t="n">
        <v>32.1</v>
      </c>
    </row>
    <row r="45" customFormat="false" ht="12.75" hidden="false" customHeight="false" outlineLevel="0" collapsed="false">
      <c r="A45" s="4" t="s">
        <v>5</v>
      </c>
      <c r="B45" s="5" t="n">
        <v>33.9</v>
      </c>
    </row>
    <row r="46" customFormat="false" ht="12.75" hidden="false" customHeight="false" outlineLevel="0" collapsed="false">
      <c r="A46" s="4" t="s">
        <v>5</v>
      </c>
      <c r="B46" s="5" t="n">
        <v>31.3</v>
      </c>
    </row>
    <row r="47" customFormat="false" ht="12.75" hidden="false" customHeight="false" outlineLevel="0" collapsed="false">
      <c r="A47" s="4" t="s">
        <v>5</v>
      </c>
      <c r="B47" s="5" t="n">
        <v>51</v>
      </c>
    </row>
    <row r="48" customFormat="false" ht="12.75" hidden="false" customHeight="false" outlineLevel="0" collapsed="false">
      <c r="A48" s="4" t="s">
        <v>5</v>
      </c>
      <c r="B48" s="5" t="n">
        <v>53.4</v>
      </c>
    </row>
    <row r="49" customFormat="false" ht="12.75" hidden="false" customHeight="false" outlineLevel="0" collapsed="false">
      <c r="A49" s="4" t="s">
        <v>5</v>
      </c>
      <c r="B49" s="5" t="n">
        <v>58.3</v>
      </c>
    </row>
    <row r="50" customFormat="false" ht="12.75" hidden="false" customHeight="false" outlineLevel="0" collapsed="false">
      <c r="A50" s="4" t="s">
        <v>5</v>
      </c>
      <c r="B50" s="5" t="n">
        <v>31.4</v>
      </c>
    </row>
    <row r="51" customFormat="false" ht="12.75" hidden="false" customHeight="false" outlineLevel="0" collapsed="false">
      <c r="A51" s="4" t="s">
        <v>5</v>
      </c>
      <c r="B51" s="5" t="n">
        <v>56.3</v>
      </c>
    </row>
    <row r="52" customFormat="false" ht="12.75" hidden="false" customHeight="false" outlineLevel="0" collapsed="false">
      <c r="A52" s="4" t="s">
        <v>5</v>
      </c>
      <c r="B52" s="5" t="n">
        <v>41</v>
      </c>
    </row>
    <row r="53" customFormat="false" ht="12.75" hidden="false" customHeight="false" outlineLevel="0" collapsed="false">
      <c r="A53" s="4" t="s">
        <v>5</v>
      </c>
      <c r="B53" s="5" t="n">
        <v>47.9</v>
      </c>
    </row>
    <row r="54" customFormat="false" ht="12.75" hidden="false" customHeight="false" outlineLevel="0" collapsed="false">
      <c r="A54" s="4" t="s">
        <v>5</v>
      </c>
      <c r="B54" s="5" t="n">
        <v>51.4</v>
      </c>
    </row>
    <row r="55" customFormat="false" ht="12.75" hidden="false" customHeight="false" outlineLevel="0" collapsed="false">
      <c r="A55" s="4" t="s">
        <v>5</v>
      </c>
      <c r="B55" s="5" t="n">
        <v>33.1</v>
      </c>
    </row>
    <row r="56" customFormat="false" ht="12.75" hidden="false" customHeight="false" outlineLevel="0" collapsed="false">
      <c r="A56" s="4" t="s">
        <v>5</v>
      </c>
      <c r="B56" s="5" t="n">
        <v>74.9</v>
      </c>
    </row>
    <row r="57" customFormat="false" ht="12.75" hidden="false" customHeight="false" outlineLevel="0" collapsed="false">
      <c r="A57" s="4" t="s">
        <v>5</v>
      </c>
      <c r="B57" s="5" t="n">
        <v>77.2</v>
      </c>
    </row>
    <row r="58" customFormat="false" ht="12.75" hidden="false" customHeight="false" outlineLevel="0" collapsed="false">
      <c r="A58" s="4" t="s">
        <v>5</v>
      </c>
      <c r="B58" s="5" t="n">
        <v>57.9</v>
      </c>
    </row>
    <row r="59" customFormat="false" ht="12.75" hidden="false" customHeight="false" outlineLevel="0" collapsed="false">
      <c r="A59" s="4" t="s">
        <v>5</v>
      </c>
      <c r="B59" s="5" t="n">
        <v>80.1</v>
      </c>
    </row>
    <row r="60" customFormat="false" ht="12.75" hidden="false" customHeight="false" outlineLevel="0" collapsed="false">
      <c r="A60" s="4" t="s">
        <v>5</v>
      </c>
      <c r="B60" s="5" t="n">
        <v>40.2</v>
      </c>
    </row>
    <row r="61" customFormat="false" ht="12.75" hidden="false" customHeight="false" outlineLevel="0" collapsed="false">
      <c r="A61" s="4" t="s">
        <v>5</v>
      </c>
      <c r="B61" s="5" t="n">
        <v>100.9</v>
      </c>
    </row>
    <row r="62" customFormat="false" ht="12.75" hidden="false" customHeight="false" outlineLevel="0" collapsed="false">
      <c r="A62" s="4" t="s">
        <v>27</v>
      </c>
      <c r="B62" s="5" t="n">
        <v>33.1</v>
      </c>
    </row>
    <row r="63" customFormat="false" ht="12.75" hidden="false" customHeight="false" outlineLevel="0" collapsed="false">
      <c r="A63" s="4" t="s">
        <v>27</v>
      </c>
      <c r="B63" s="5" t="n">
        <v>35.8</v>
      </c>
    </row>
    <row r="64" customFormat="false" ht="12.75" hidden="false" customHeight="false" outlineLevel="0" collapsed="false">
      <c r="A64" s="4" t="s">
        <v>27</v>
      </c>
      <c r="B64" s="5" t="n">
        <v>68.8</v>
      </c>
    </row>
    <row r="65" customFormat="false" ht="12.75" hidden="false" customHeight="false" outlineLevel="0" collapsed="false">
      <c r="A65" s="4" t="s">
        <v>27</v>
      </c>
      <c r="B65" s="5" t="n">
        <v>31.6</v>
      </c>
    </row>
    <row r="66" customFormat="false" ht="12.75" hidden="false" customHeight="false" outlineLevel="0" collapsed="false">
      <c r="A66" s="4" t="s">
        <v>27</v>
      </c>
      <c r="B66" s="5" t="n">
        <v>38.2</v>
      </c>
    </row>
    <row r="67" customFormat="false" ht="12.75" hidden="false" customHeight="false" outlineLevel="0" collapsed="false">
      <c r="A67" s="4" t="s">
        <v>27</v>
      </c>
      <c r="B67" s="5" t="n">
        <v>42</v>
      </c>
    </row>
    <row r="68" customFormat="false" ht="12.75" hidden="false" customHeight="false" outlineLevel="0" collapsed="false">
      <c r="A68" s="4" t="s">
        <v>27</v>
      </c>
      <c r="B68" s="5" t="n">
        <v>33.4</v>
      </c>
    </row>
    <row r="69" customFormat="false" ht="12.75" hidden="false" customHeight="false" outlineLevel="0" collapsed="false">
      <c r="A69" s="4" t="s">
        <v>27</v>
      </c>
      <c r="B69" s="5" t="n">
        <v>50.3</v>
      </c>
    </row>
    <row r="70" customFormat="false" ht="12.75" hidden="false" customHeight="false" outlineLevel="0" collapsed="false">
      <c r="A70" s="4" t="s">
        <v>27</v>
      </c>
      <c r="B70" s="5" t="n">
        <v>39.6</v>
      </c>
    </row>
    <row r="71" customFormat="false" ht="12.75" hidden="false" customHeight="false" outlineLevel="0" collapsed="false">
      <c r="A71" s="4" t="s">
        <v>27</v>
      </c>
      <c r="B71" s="5" t="n">
        <v>30.7</v>
      </c>
    </row>
    <row r="72" customFormat="false" ht="12.75" hidden="false" customHeight="false" outlineLevel="0" collapsed="false">
      <c r="A72" s="4" t="s">
        <v>27</v>
      </c>
      <c r="B72" s="5" t="n">
        <v>31.3</v>
      </c>
    </row>
    <row r="73" customFormat="false" ht="12.75" hidden="false" customHeight="false" outlineLevel="0" collapsed="false">
      <c r="A73" s="4" t="s">
        <v>27</v>
      </c>
      <c r="B73" s="5" t="n">
        <v>61.3</v>
      </c>
    </row>
    <row r="74" customFormat="false" ht="12.75" hidden="false" customHeight="false" outlineLevel="0" collapsed="false">
      <c r="A74" s="4" t="s">
        <v>27</v>
      </c>
      <c r="B74" s="5" t="n">
        <v>30</v>
      </c>
    </row>
    <row r="75" customFormat="false" ht="12.75" hidden="false" customHeight="false" outlineLevel="0" collapsed="false">
      <c r="A75" s="4" t="s">
        <v>27</v>
      </c>
      <c r="B75" s="5" t="n">
        <v>38.1</v>
      </c>
    </row>
    <row r="76" customFormat="false" ht="12.75" hidden="false" customHeight="false" outlineLevel="0" collapsed="false">
      <c r="A76" s="4" t="s">
        <v>27</v>
      </c>
      <c r="B76" s="5" t="n">
        <v>56.4</v>
      </c>
    </row>
    <row r="77" customFormat="false" ht="12.75" hidden="false" customHeight="false" outlineLevel="0" collapsed="false">
      <c r="A77" s="4" t="s">
        <v>27</v>
      </c>
      <c r="B77" s="5" t="n">
        <v>35.7</v>
      </c>
    </row>
    <row r="78" customFormat="false" ht="12.75" hidden="false" customHeight="false" outlineLevel="0" collapsed="false">
      <c r="A78" s="4" t="s">
        <v>27</v>
      </c>
      <c r="B78" s="5" t="n">
        <v>31.3</v>
      </c>
    </row>
    <row r="79" customFormat="false" ht="12.75" hidden="false" customHeight="false" outlineLevel="0" collapsed="false">
      <c r="A79" s="4" t="s">
        <v>27</v>
      </c>
      <c r="B79" s="5" t="n">
        <v>40.4</v>
      </c>
    </row>
    <row r="80" customFormat="false" ht="12.75" hidden="false" customHeight="false" outlineLevel="0" collapsed="false">
      <c r="A80" s="4" t="s">
        <v>27</v>
      </c>
      <c r="B80" s="5" t="n">
        <v>32.1</v>
      </c>
    </row>
    <row r="81" customFormat="false" ht="12.75" hidden="false" customHeight="false" outlineLevel="0" collapsed="false">
      <c r="A81" s="4" t="s">
        <v>27</v>
      </c>
      <c r="B81" s="5" t="n">
        <v>66.4</v>
      </c>
    </row>
    <row r="82" customFormat="false" ht="12.75" hidden="false" customHeight="false" outlineLevel="0" collapsed="false">
      <c r="A82" s="4" t="s">
        <v>27</v>
      </c>
      <c r="B82" s="5" t="n">
        <v>36.9</v>
      </c>
    </row>
    <row r="83" customFormat="false" ht="12.75" hidden="false" customHeight="false" outlineLevel="0" collapsed="false">
      <c r="A83" s="4" t="s">
        <v>27</v>
      </c>
      <c r="B83" s="5" t="n">
        <v>35.9</v>
      </c>
    </row>
    <row r="84" customFormat="false" ht="12.75" hidden="false" customHeight="false" outlineLevel="0" collapsed="false">
      <c r="A84" s="4" t="s">
        <v>27</v>
      </c>
      <c r="B84" s="5" t="n">
        <v>49.6</v>
      </c>
    </row>
    <row r="85" customFormat="false" ht="12.75" hidden="false" customHeight="false" outlineLevel="0" collapsed="false">
      <c r="A85" s="4" t="s">
        <v>27</v>
      </c>
      <c r="B85" s="5" t="n">
        <v>62.8</v>
      </c>
    </row>
    <row r="86" customFormat="false" ht="12.75" hidden="false" customHeight="false" outlineLevel="0" collapsed="false">
      <c r="A86" s="4" t="s">
        <v>27</v>
      </c>
      <c r="B86" s="5" t="n">
        <v>44.6</v>
      </c>
    </row>
    <row r="87" customFormat="false" ht="12.75" hidden="false" customHeight="false" outlineLevel="0" collapsed="false">
      <c r="A87" s="4" t="s">
        <v>27</v>
      </c>
      <c r="B87" s="5" t="n">
        <v>32.5</v>
      </c>
    </row>
    <row r="88" customFormat="false" ht="12.75" hidden="false" customHeight="false" outlineLevel="0" collapsed="false">
      <c r="A88" s="4" t="s">
        <v>27</v>
      </c>
      <c r="B88" s="5" t="n">
        <v>33.4</v>
      </c>
    </row>
    <row r="89" customFormat="false" ht="12.75" hidden="false" customHeight="false" outlineLevel="0" collapsed="false">
      <c r="A89" s="4" t="s">
        <v>27</v>
      </c>
      <c r="B89" s="5" t="n">
        <v>55.3</v>
      </c>
    </row>
    <row r="90" customFormat="false" ht="12.75" hidden="false" customHeight="false" outlineLevel="0" collapsed="false">
      <c r="A90" s="4" t="s">
        <v>27</v>
      </c>
      <c r="B90" s="5" t="n">
        <v>62.7</v>
      </c>
    </row>
    <row r="91" customFormat="false" ht="12.75" hidden="false" customHeight="false" outlineLevel="0" collapsed="false">
      <c r="A91" s="4" t="s">
        <v>27</v>
      </c>
      <c r="B91" s="5" t="n">
        <v>54.4</v>
      </c>
    </row>
    <row r="92" customFormat="false" ht="12.75" hidden="false" customHeight="false" outlineLevel="0" collapsed="false">
      <c r="A92" s="4" t="s">
        <v>27</v>
      </c>
      <c r="B92" s="5" t="n">
        <v>30.8</v>
      </c>
    </row>
    <row r="93" customFormat="false" ht="12.75" hidden="false" customHeight="false" outlineLevel="0" collapsed="false">
      <c r="A93" s="4" t="s">
        <v>27</v>
      </c>
      <c r="B93" s="5" t="n">
        <v>49.1</v>
      </c>
    </row>
    <row r="94" customFormat="false" ht="12.75" hidden="false" customHeight="false" outlineLevel="0" collapsed="false">
      <c r="A94" s="4" t="s">
        <v>27</v>
      </c>
      <c r="B94" s="5" t="n">
        <v>41.9</v>
      </c>
    </row>
    <row r="95" customFormat="false" ht="12.75" hidden="false" customHeight="false" outlineLevel="0" collapsed="false">
      <c r="A95" s="4" t="s">
        <v>27</v>
      </c>
      <c r="B95" s="5" t="n">
        <v>32.5</v>
      </c>
    </row>
    <row r="96" customFormat="false" ht="12.75" hidden="false" customHeight="false" outlineLevel="0" collapsed="false">
      <c r="A96" s="4" t="s">
        <v>27</v>
      </c>
      <c r="B96" s="5" t="n">
        <v>35.2</v>
      </c>
    </row>
    <row r="97" customFormat="false" ht="12.75" hidden="false" customHeight="false" outlineLevel="0" collapsed="false">
      <c r="A97" s="4" t="s">
        <v>27</v>
      </c>
      <c r="B97" s="5" t="n">
        <v>47.4</v>
      </c>
    </row>
    <row r="98" customFormat="false" ht="12.75" hidden="false" customHeight="false" outlineLevel="0" collapsed="false">
      <c r="A98" s="4" t="s">
        <v>27</v>
      </c>
      <c r="B98" s="5" t="n">
        <v>60.7</v>
      </c>
    </row>
    <row r="99" customFormat="false" ht="12.75" hidden="false" customHeight="false" outlineLevel="0" collapsed="false">
      <c r="A99" s="4" t="s">
        <v>27</v>
      </c>
      <c r="B99" s="5" t="n">
        <v>33</v>
      </c>
    </row>
    <row r="100" customFormat="false" ht="12.75" hidden="false" customHeight="false" outlineLevel="0" collapsed="false">
      <c r="A100" s="4" t="s">
        <v>27</v>
      </c>
      <c r="B100" s="5" t="n">
        <v>43.3</v>
      </c>
    </row>
    <row r="101" customFormat="false" ht="12.75" hidden="false" customHeight="false" outlineLevel="0" collapsed="false">
      <c r="A101" s="4" t="s">
        <v>27</v>
      </c>
      <c r="B101" s="5" t="n">
        <v>34.8</v>
      </c>
    </row>
    <row r="102" customFormat="false" ht="12.75" hidden="false" customHeight="false" outlineLevel="0" collapsed="false">
      <c r="A102" s="4" t="s">
        <v>27</v>
      </c>
      <c r="B102" s="5" t="n">
        <v>36</v>
      </c>
    </row>
    <row r="103" customFormat="false" ht="12.75" hidden="false" customHeight="false" outlineLevel="0" collapsed="false">
      <c r="A103" s="4" t="s">
        <v>27</v>
      </c>
      <c r="B103" s="5" t="n">
        <v>51.6</v>
      </c>
    </row>
    <row r="104" customFormat="false" ht="12.75" hidden="false" customHeight="false" outlineLevel="0" collapsed="false">
      <c r="A104" s="4" t="s">
        <v>27</v>
      </c>
      <c r="B104" s="5" t="n">
        <v>31.9</v>
      </c>
    </row>
    <row r="105" customFormat="false" ht="12.75" hidden="false" customHeight="false" outlineLevel="0" collapsed="false">
      <c r="A105" s="4" t="s">
        <v>27</v>
      </c>
      <c r="B105" s="5" t="n">
        <v>34.1</v>
      </c>
    </row>
    <row r="106" customFormat="false" ht="12.75" hidden="false" customHeight="false" outlineLevel="0" collapsed="false">
      <c r="A106" s="4" t="s">
        <v>27</v>
      </c>
      <c r="B106" s="5" t="n">
        <v>78.4</v>
      </c>
    </row>
    <row r="107" customFormat="false" ht="12.75" hidden="false" customHeight="false" outlineLevel="0" collapsed="false">
      <c r="A107" s="4" t="s">
        <v>27</v>
      </c>
      <c r="B107" s="5" t="n">
        <v>30.4</v>
      </c>
    </row>
    <row r="108" customFormat="false" ht="12.75" hidden="false" customHeight="false" outlineLevel="0" collapsed="false">
      <c r="A108" s="4" t="s">
        <v>27</v>
      </c>
      <c r="B108" s="5" t="n">
        <v>45.3</v>
      </c>
    </row>
    <row r="109" customFormat="false" ht="12.75" hidden="false" customHeight="false" outlineLevel="0" collapsed="false">
      <c r="A109" s="4" t="s">
        <v>27</v>
      </c>
      <c r="B109" s="5" t="n">
        <v>52.6</v>
      </c>
    </row>
    <row r="110" customFormat="false" ht="12.75" hidden="false" customHeight="false" outlineLevel="0" collapsed="false">
      <c r="A110" s="4" t="s">
        <v>27</v>
      </c>
      <c r="B110" s="5" t="n">
        <v>30.3</v>
      </c>
    </row>
    <row r="111" customFormat="false" ht="12.75" hidden="false" customHeight="false" outlineLevel="0" collapsed="false">
      <c r="A111" s="4" t="s">
        <v>27</v>
      </c>
      <c r="B111" s="5" t="n">
        <v>36.6</v>
      </c>
    </row>
    <row r="112" customFormat="false" ht="12.75" hidden="false" customHeight="false" outlineLevel="0" collapsed="false">
      <c r="A112" s="4" t="s">
        <v>27</v>
      </c>
      <c r="B112" s="5" t="n">
        <v>53.1</v>
      </c>
    </row>
    <row r="113" customFormat="false" ht="12.75" hidden="false" customHeight="false" outlineLevel="0" collapsed="false">
      <c r="A113" s="4" t="s">
        <v>27</v>
      </c>
      <c r="B113" s="5" t="n">
        <v>36.5</v>
      </c>
    </row>
    <row r="114" customFormat="false" ht="12.75" hidden="false" customHeight="false" outlineLevel="0" collapsed="false">
      <c r="A114" s="4" t="s">
        <v>27</v>
      </c>
      <c r="B114" s="5" t="n">
        <v>37.8</v>
      </c>
    </row>
    <row r="115" customFormat="false" ht="12.75" hidden="false" customHeight="false" outlineLevel="0" collapsed="false">
      <c r="A115" s="4" t="s">
        <v>27</v>
      </c>
      <c r="B115" s="5" t="n">
        <v>34</v>
      </c>
    </row>
    <row r="116" customFormat="false" ht="12.75" hidden="false" customHeight="false" outlineLevel="0" collapsed="false">
      <c r="A116" s="4" t="s">
        <v>27</v>
      </c>
      <c r="B116" s="5" t="n">
        <v>69.3</v>
      </c>
    </row>
    <row r="117" customFormat="false" ht="12.75" hidden="false" customHeight="false" outlineLevel="0" collapsed="false">
      <c r="A117" s="4" t="s">
        <v>27</v>
      </c>
      <c r="B117" s="5" t="n">
        <v>77.2</v>
      </c>
    </row>
    <row r="118" customFormat="false" ht="12.75" hidden="false" customHeight="false" outlineLevel="0" collapsed="false">
      <c r="A118" s="4" t="s">
        <v>27</v>
      </c>
      <c r="B118" s="5" t="n">
        <v>32.6</v>
      </c>
    </row>
    <row r="119" customFormat="false" ht="12.75" hidden="false" customHeight="false" outlineLevel="0" collapsed="false">
      <c r="A119" s="4" t="s">
        <v>27</v>
      </c>
      <c r="B119" s="5" t="n">
        <v>82.9</v>
      </c>
    </row>
    <row r="120" customFormat="false" ht="12.75" hidden="false" customHeight="false" outlineLevel="0" collapsed="false">
      <c r="A120" s="4" t="s">
        <v>27</v>
      </c>
      <c r="B120" s="5" t="n">
        <v>42.3</v>
      </c>
    </row>
    <row r="121" customFormat="false" ht="12.75" hidden="false" customHeight="false" outlineLevel="0" collapsed="false">
      <c r="A121" s="4" t="s">
        <v>27</v>
      </c>
      <c r="B121" s="5" t="n">
        <v>57.8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8.66015625" defaultRowHeight="12.75" zeroHeight="false" outlineLevelRow="0" outlineLevelCol="0"/>
  <sheetData>
    <row r="1" customFormat="false" ht="13.8" hidden="false" customHeight="false" outlineLevel="0" collapsed="false">
      <c r="A1" s="7" t="s">
        <v>28</v>
      </c>
    </row>
    <row r="2" customFormat="false" ht="13.8" hidden="false" customHeight="false" outlineLevel="0" collapsed="false">
      <c r="A2" s="8" t="s">
        <v>29</v>
      </c>
      <c r="B2" s="8" t="s">
        <v>30</v>
      </c>
    </row>
    <row r="3" customFormat="false" ht="13.8" hidden="false" customHeight="false" outlineLevel="0" collapsed="false">
      <c r="A3" s="7" t="s">
        <v>0</v>
      </c>
      <c r="C3" s="7" t="s">
        <v>31</v>
      </c>
    </row>
    <row r="4" customFormat="false" ht="13.8" hidden="false" customHeight="false" outlineLevel="0" collapsed="false">
      <c r="A4" s="7" t="s">
        <v>1</v>
      </c>
      <c r="B4" s="7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2006-09-16T09:36:00Z</dcterms:created>
  <dc:creator>Keith</dc:creator>
  <dc:description/>
  <dc:language>en-GB</dc:language>
  <cp:lastModifiedBy/>
  <dcterms:modified xsi:type="dcterms:W3CDTF">2026-01-04T13:57:55Z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